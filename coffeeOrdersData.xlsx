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3.xml" ContentType="application/vnd.ms-excel.slicer+xml"/>
  <Override PartName="/xl/timelines/timeline3.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D:\Data_Mites\Project\Excel\"/>
    </mc:Choice>
  </mc:AlternateContent>
  <xr:revisionPtr revIDLastSave="0" documentId="13_ncr:1_{CC64CEE6-13A2-4AC4-A39B-D330437760F2}" xr6:coauthVersionLast="47" xr6:coauthVersionMax="47" xr10:uidLastSave="{00000000-0000-0000-0000-000000000000}"/>
  <bookViews>
    <workbookView xWindow="-108" yWindow="-108" windowWidth="23256" windowHeight="13176" tabRatio="644" firstSheet="2" activeTab="9" xr2:uid="{00000000-000D-0000-FFFF-FFFF00000000}"/>
  </bookViews>
  <sheets>
    <sheet name="Total Sales" sheetId="19" r:id="rId1"/>
    <sheet name="Total Quantity" sheetId="26" r:id="rId2"/>
    <sheet name="KPI" sheetId="29" r:id="rId3"/>
    <sheet name="Country Bar Chart" sheetId="20" r:id="rId4"/>
    <sheet name="Top 5 Customers" sheetId="21" r:id="rId5"/>
    <sheet name="orders" sheetId="17" r:id="rId6"/>
    <sheet name="customers" sheetId="13" r:id="rId7"/>
    <sheet name="products" sheetId="2" r:id="rId8"/>
    <sheet name="Dashboard1" sheetId="23" r:id="rId9"/>
    <sheet name="Dashboard2" sheetId="24" r:id="rId10"/>
  </sheets>
  <definedNames>
    <definedName name="_xlnm._FilterDatabase" localSheetId="5" hidden="1">orders!$A$1:$M$1001</definedName>
    <definedName name="_xlnm._FilterDatabase" localSheetId="7" hidden="1">products!$A$1:$G$49</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4"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9" l="1"/>
  <c r="B9" i="29"/>
  <c r="B7" i="29"/>
  <c r="B5" i="29"/>
  <c r="B4" i="29"/>
  <c r="B3" i="29"/>
  <c r="B2" i="29"/>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2" i="17"/>
  <c r="O2" i="17" s="1"/>
  <c r="K2" i="17"/>
  <c r="L2" i="17"/>
  <c r="M2" i="17" s="1"/>
  <c r="H27"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<sst xmlns="http://schemas.openxmlformats.org/spreadsheetml/2006/main" count="11144" uniqueCount="6238">
  <si>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</si>
  <si>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</si>
  <si>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</si>
  <si>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</si>
  <si>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</si>
  <si>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</si>
  <si>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</si>
  <si>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</si>
  <si>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</si>
  <si>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</si>
  <si>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</si>
  <si>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</si>
  <si>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</si>
  <si>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</si>
  <si>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</si>
  <si>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</si>
  <si>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</si>
  <si>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</si>
  <si>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</si>
  <si>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</si>
  <si>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</si>
  <si>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</si>
  <si>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</si>
  <si>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</si>
  <si>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</si>
  <si>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</si>
  <si>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</si>
  <si>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</si>
  <si>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</si>
  <si>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</si>
  <si>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</si>
  <si>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</si>
  <si>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</si>
  <si>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</si>
  <si>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</si>
  <si>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</si>
  <si>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</si>
  <si>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</si>
  <si>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</si>
  <si>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</si>
  <si>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</si>
  <si>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</si>
  <si>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</si>
  <si>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</si>
  <si>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</si>
  <si>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</si>
  <si>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</si>
  <si>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</si>
  <si>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</si>
  <si>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</si>
  <si>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</si>
  <si>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</si>
  <si>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</si>
  <si>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</si>
  <si>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</si>
  <si>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</si>
  <si>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</si>
  <si>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</si>
  <si>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</si>
  <si>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</si>
  <si>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</si>
  <si>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</si>
  <si>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</si>
  <si>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</si>
  <si>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</si>
  <si>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</si>
  <si>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</si>
  <si>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</si>
  <si>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</si>
  <si>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</si>
  <si>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</si>
  <si>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</si>
  <si>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</si>
  <si>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</si>
  <si>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</si>
  <si>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</si>
  <si>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</si>
  <si>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</si>
  <si>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</si>
  <si>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</si>
  <si>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</si>
  <si>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</si>
  <si>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</si>
  <si>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</si>
  <si>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</si>
  <si>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</si>
  <si>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</si>
  <si>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</si>
  <si>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</si>
  <si>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</si>
  <si>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</si>
  <si>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</si>
  <si>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</si>
  <si>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</si>
  <si>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</si>
  <si>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</si>
  <si>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</si>
  <si>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</si>
  <si>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</si>
  <si>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</si>
  <si>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</si>
  <si>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</si>
  <si>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</si>
  <si>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</si>
  <si>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</si>
  <si>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</si>
  <si>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</si>
  <si>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</si>
  <si>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</si>
  <si>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</si>
  <si>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</si>
  <si>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</si>
  <si>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</si>
  <si>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</si>
  <si>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</si>
  <si>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</si>
  <si>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</si>
  <si>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</si>
  <si>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</si>
  <si>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</si>
  <si>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</si>
  <si>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</si>
  <si>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</si>
  <si>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</si>
  <si>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</si>
  <si>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</si>
  <si>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</si>
  <si>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</si>
  <si>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</si>
  <si>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</si>
  <si>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</si>
  <si>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</si>
  <si>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</si>
  <si>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</si>
  <si>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</si>
  <si>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</si>
  <si>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</si>
  <si>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</si>
  <si>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</si>
  <si>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</si>
  <si>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</si>
  <si>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</si>
  <si>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</si>
  <si>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</si>
  <si>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</si>
  <si>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</si>
  <si>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</si>
  <si>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</si>
  <si>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</si>
  <si>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</si>
  <si>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</si>
  <si>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</si>
  <si>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</si>
  <si>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</si>
  <si>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</si>
  <si>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</si>
  <si>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</si>
  <si>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</si>
  <si>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</si>
  <si>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</si>
  <si>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</si>
  <si>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</si>
  <si>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</si>
  <si>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</si>
  <si>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</si>
  <si>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</si>
  <si>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</si>
  <si>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</si>
  <si>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</si>
  <si>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</si>
  <si>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</si>
  <si>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</si>
  <si>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</si>
  <si>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</si>
  <si>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</si>
  <si>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</si>
  <si>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</si>
  <si>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</si>
  <si>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</si>
  <si>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</si>
  <si>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</si>
  <si>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</si>
  <si>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</si>
  <si>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</si>
  <si>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</si>
  <si>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</si>
  <si>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</si>
  <si>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</si>
  <si>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</si>
  <si>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</si>
  <si>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</si>
  <si>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</si>
  <si>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</si>
  <si>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</si>
  <si>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</si>
  <si>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</si>
  <si>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</si>
  <si>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</si>
  <si>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</si>
  <si>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</si>
  <si>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</si>
  <si>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</si>
  <si>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</si>
  <si>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</si>
  <si>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</si>
  <si>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</si>
  <si>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</si>
  <si>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</si>
  <si>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</si>
  <si>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</si>
  <si>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</si>
  <si>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</si>
  <si>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</si>
  <si>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</si>
  <si>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</si>
  <si>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</si>
  <si>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</si>
  <si>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</si>
  <si>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</si>
  <si>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</si>
  <si>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</si>
  <si>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</si>
  <si>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</si>
  <si>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</si>
  <si>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</si>
  <si>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</si>
  <si>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</si>
  <si>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</si>
  <si>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</si>
  <si>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</si>
  <si>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</si>
  <si>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</si>
  <si>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</si>
  <si>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</si>
  <si>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</si>
  <si>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</si>
  <si>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</si>
  <si>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</si>
  <si>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</si>
  <si>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</si>
  <si>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</si>
  <si>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</si>
  <si>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</si>
  <si>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</si>
  <si>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</si>
  <si>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</si>
  <si>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</si>
  <si>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</si>
  <si>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</si>
  <si>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</si>
  <si>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</si>
  <si>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</si>
  <si>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</si>
  <si>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</si>
  <si>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</si>
  <si>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</si>
  <si>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</si>
  <si>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</si>
  <si>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</si>
  <si>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</si>
  <si>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</si>
  <si>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</si>
  <si>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</si>
  <si>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</si>
  <si>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</si>
  <si>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</si>
  <si>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</si>
  <si>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</si>
  <si>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</si>
  <si>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</si>
  <si>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</si>
  <si>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</si>
  <si>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</si>
  <si>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</si>
  <si>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</si>
  <si>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</si>
  <si>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</si>
  <si>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</si>
  <si>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</si>
  <si>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</si>
  <si>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</si>
  <si>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</si>
  <si>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</si>
  <si>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</si>
  <si>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</si>
  <si>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</si>
  <si>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</si>
  <si>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</si>
  <si>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</si>
  <si>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</si>
  <si>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</si>
  <si>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</si>
  <si>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</si>
  <si>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</si>
  <si>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</si>
  <si>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</si>
  <si>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</si>
  <si>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</si>
  <si>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</si>
  <si>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</si>
  <si>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</si>
  <si>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</si>
  <si>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</si>
  <si>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</si>
  <si>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</si>
  <si>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</si>
  <si>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</si>
  <si>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</si>
  <si>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</si>
  <si>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</si>
  <si>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</si>
  <si>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</si>
  <si>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</si>
  <si>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</si>
  <si>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</si>
  <si>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</si>
  <si>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</si>
  <si>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</si>
  <si>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</si>
  <si>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</si>
  <si>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</si>
  <si>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</si>
  <si>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</si>
  <si>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</si>
  <si>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</si>
  <si>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</si>
  <si>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</si>
  <si>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</si>
  <si>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</si>
  <si>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</si>
  <si>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</si>
  <si>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</si>
  <si>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</si>
  <si>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</si>
  <si>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</si>
  <si>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</si>
  <si>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</si>
  <si>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</si>
  <si>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</si>
  <si>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</si>
  <si>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</si>
  <si>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</si>
  <si>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</si>
  <si>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</si>
  <si>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</si>
  <si>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</si>
  <si>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</si>
  <si>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</si>
  <si>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</si>
  <si>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</si>
  <si>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</si>
  <si>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</si>
  <si>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</si>
  <si>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</si>
  <si>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</si>
  <si>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</si>
  <si>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</si>
  <si>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</si>
  <si>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</si>
  <si>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</si>
  <si>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</si>
  <si>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</si>
  <si>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</si>
  <si>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</si>
  <si>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</si>
  <si>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</si>
  <si>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</si>
  <si>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</si>
  <si>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</si>
  <si>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</si>
  <si>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</si>
  <si>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</si>
  <si>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</si>
  <si>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</si>
  <si>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</si>
  <si>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</si>
  <si>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</si>
  <si>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</si>
  <si>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</si>
  <si>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</si>
  <si>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</si>
  <si>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</si>
  <si>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</si>
  <si>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</si>
  <si>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</si>
  <si>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</si>
  <si>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</si>
  <si>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</si>
  <si>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</si>
  <si>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</si>
  <si>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</si>
  <si>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</si>
  <si>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</si>
  <si>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</si>
  <si>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</si>
  <si>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</si>
  <si>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</si>
  <si>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</si>
  <si>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</si>
  <si>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</si>
  <si>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</si>
  <si>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</si>
  <si>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</si>
  <si>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</si>
  <si>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</si>
  <si>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</si>
  <si>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</si>
  <si>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</si>
  <si>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</si>
  <si>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</si>
  <si>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</si>
  <si>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</si>
  <si>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</si>
  <si>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</si>
  <si>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</si>
  <si>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</si>
  <si>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</si>
  <si>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</si>
  <si>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</si>
  <si>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</si>
  <si>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</si>
  <si>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</si>
  <si>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</si>
  <si>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</si>
  <si>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</si>
  <si>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</si>
  <si>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</si>
  <si>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</si>
  <si>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</si>
  <si>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</si>
  <si>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</si>
  <si>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</si>
  <si>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</si>
  <si>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</si>
  <si>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</si>
  <si>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</si>
  <si>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</si>
  <si>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</si>
  <si>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</si>
  <si>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</si>
  <si>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</si>
  <si>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</si>
  <si>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</si>
  <si>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</si>
  <si>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</si>
  <si>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</si>
  <si>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</si>
  <si>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</si>
  <si>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</si>
  <si>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</si>
  <si>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</si>
  <si>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</si>
  <si>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</si>
  <si>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</si>
  <si>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</si>
  <si>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</si>
  <si>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</si>
  <si>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</si>
  <si>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</si>
  <si>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</si>
  <si>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</si>
  <si>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</si>
  <si>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</si>
  <si>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</si>
  <si>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</si>
  <si>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</si>
  <si>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</si>
  <si>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</si>
  <si>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</si>
  <si>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</si>
  <si>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</si>
  <si>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</si>
  <si>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</si>
  <si>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</si>
  <si>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</si>
  <si>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</si>
  <si>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</si>
  <si>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</si>
  <si>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</si>
  <si>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</si>
  <si>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</si>
  <si>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</si>
  <si>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</si>
  <si>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</si>
  <si>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</si>
  <si>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</si>
  <si>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</si>
  <si>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</si>
  <si>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</si>
  <si>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</si>
  <si>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</si>
  <si>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</si>
  <si>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</si>
  <si>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</si>
  <si>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</si>
  <si>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</si>
  <si>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</si>
  <si>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</si>
  <si>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</si>
  <si>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</si>
  <si>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</si>
  <si>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</si>
  <si>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</si>
  <si>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</si>
  <si>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</si>
  <si>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</si>
  <si>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</si>
  <si>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</si>
  <si>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</si>
  <si>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</si>
  <si>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</si>
  <si>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</si>
  <si>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</si>
  <si>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</si>
  <si>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</si>
  <si>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</si>
  <si>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</si>
  <si>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</si>
  <si>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</si>
  <si>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</si>
  <si>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</si>
  <si>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</si>
  <si>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</si>
  <si>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</si>
  <si>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</si>
  <si>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</si>
  <si>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</si>
  <si>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</si>
  <si>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</si>
  <si>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</si>
  <si>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</si>
  <si>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</si>
  <si>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</si>
  <si>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</si>
  <si>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</si>
  <si>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</si>
  <si>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</si>
  <si>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</si>
  <si>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</si>
  <si>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</si>
  <si>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</si>
  <si>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</si>
  <si>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</si>
  <si>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</si>
  <si>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</si>
  <si>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</si>
  <si>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</si>
  <si>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</si>
  <si>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</si>
  <si>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</si>
  <si>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</si>
  <si>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</si>
  <si>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</si>
  <si>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</si>
  <si>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</si>
  <si>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</si>
  <si>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</si>
  <si>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</si>
  <si>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</si>
  <si>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</si>
  <si>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</si>
  <si>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</si>
  <si>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</si>
  <si>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</si>
  <si>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</si>
  <si>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</si>
  <si>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</si>
  <si>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</si>
  <si>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</si>
  <si>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</si>
  <si>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</si>
  <si>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</si>
  <si>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</si>
  <si>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</si>
  <si>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</si>
  <si>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</si>
  <si>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</si>
  <si>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</si>
  <si>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</si>
  <si>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</si>
  <si>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</si>
  <si>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</si>
  <si>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</si>
  <si>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</si>
  <si>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</si>
  <si>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</si>
  <si>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</si>
  <si>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</si>
  <si>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</si>
  <si>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</si>
  <si>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</si>
  <si>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</si>
  <si>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</si>
  <si>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</si>
  <si>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</si>
  <si>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</si>
  <si>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</si>
  <si>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</si>
  <si>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</si>
  <si>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</si>
  <si>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</si>
  <si>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</si>
  <si>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</si>
  <si>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</si>
  <si>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</si>
  <si>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</si>
  <si>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</si>
  <si>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</si>
  <si>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</si>
  <si>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</si>
  <si>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</si>
  <si>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</si>
  <si>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</si>
  <si>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</si>
  <si>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</si>
  <si>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</si>
  <si>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</si>
  <si>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</si>
  <si>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</si>
  <si>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</si>
  <si>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</si>
  <si>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</si>
  <si>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</si>
  <si>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</si>
  <si>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</si>
  <si>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</si>
  <si>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</si>
  <si>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</si>
  <si>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</si>
  <si>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</si>
  <si>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</si>
  <si>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</si>
  <si>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</si>
  <si>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</si>
  <si>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</si>
  <si>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</si>
  <si>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</si>
  <si>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</si>
  <si>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</si>
  <si>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</si>
  <si>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</si>
  <si>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</si>
  <si>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</si>
  <si>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</si>
  <si>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</si>
  <si>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</si>
  <si>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</si>
  <si>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</si>
  <si>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</si>
  <si>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</si>
  <si>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</si>
  <si>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</si>
  <si>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</si>
  <si>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</si>
  <si>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</si>
  <si>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</si>
  <si>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</si>
  <si>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</si>
  <si>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</si>
  <si>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</si>
  <si>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</si>
  <si>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</si>
  <si>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</si>
  <si>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</si>
  <si>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</si>
  <si>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</si>
  <si>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</si>
  <si>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</si>
  <si>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</si>
  <si>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</si>
  <si>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</si>
  <si>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</si>
  <si>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</si>
  <si>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</si>
  <si>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</si>
  <si>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</si>
  <si>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</si>
  <si>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</si>
  <si>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</si>
  <si>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</si>
  <si>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</si>
  <si>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</si>
  <si>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</si>
  <si>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</si>
  <si>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</si>
  <si>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</si>
  <si>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</si>
  <si>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</si>
  <si>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</si>
  <si>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</si>
  <si>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</si>
  <si>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</si>
  <si>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</si>
  <si>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</si>
  <si>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</si>
  <si>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</si>
  <si>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</si>
  <si>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</si>
  <si>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</si>
  <si>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</si>
  <si>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</si>
  <si>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</si>
  <si>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</si>
  <si>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</si>
  <si>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</si>
  <si>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</si>
  <si>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</si>
  <si>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</si>
  <si>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</si>
  <si>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</si>
  <si>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</si>
  <si>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</si>
  <si>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</si>
  <si>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</si>
  <si>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</si>
  <si>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</si>
  <si>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</si>
  <si>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</si>
  <si>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</si>
  <si>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</si>
  <si>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</si>
  <si>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</si>
  <si>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</si>
  <si>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</si>
  <si>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</si>
  <si>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</si>
  <si>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</si>
  <si>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</si>
  <si>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</si>
  <si>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</si>
  <si>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</si>
  <si>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</si>
  <si>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</si>
  <si>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</si>
  <si>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</si>
  <si>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</si>
  <si>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</si>
  <si>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</si>
  <si>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</si>
  <si>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</si>
  <si>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</si>
  <si>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</si>
  <si>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</si>
  <si>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</si>
  <si>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</si>
  <si>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</si>
  <si>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</si>
  <si>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</si>
  <si>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</si>
  <si>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</si>
  <si>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</si>
  <si>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</si>
  <si>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</si>
  <si>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</si>
  <si>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</si>
  <si>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</si>
  <si>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</si>
  <si>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</si>
  <si>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</si>
  <si>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</si>
  <si>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</si>
  <si>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</si>
  <si>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</si>
  <si>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</si>
  <si>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</si>
  <si>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</si>
  <si>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</si>
  <si>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</si>
  <si>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</si>
  <si>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</si>
  <si>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</si>
  <si>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</si>
  <si>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</si>
  <si>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</si>
  <si>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</si>
  <si>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</si>
  <si>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</si>
  <si>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</si>
  <si>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</si>
  <si>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</si>
  <si>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</si>
  <si>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</si>
  <si>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</si>
  <si>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</si>
  <si>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</si>
  <si>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</si>
  <si>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</si>
  <si>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</si>
  <si>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</si>
  <si>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</si>
  <si>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</si>
  <si>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</si>
  <si>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</si>
  <si>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</si>
  <si>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</si>
  <si>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</si>
  <si>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</si>
  <si>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</si>
  <si>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</si>
  <si>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</si>
  <si>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</si>
  <si>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</si>
  <si>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</si>
  <si>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</si>
  <si>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</si>
  <si>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</si>
  <si>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</si>
  <si>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</si>
  <si>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</si>
  <si>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</si>
  <si>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</si>
  <si>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</si>
  <si>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</si>
  <si>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</si>
  <si>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</si>
  <si>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</si>
  <si>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</si>
  <si>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</si>
  <si>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</si>
  <si>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</si>
  <si>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</si>
  <si>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</si>
  <si>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</si>
  <si>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</si>
  <si>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</si>
  <si>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</si>
  <si>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</si>
  <si>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</si>
  <si>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</si>
  <si>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</si>
  <si>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</si>
  <si>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</si>
  <si>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</si>
  <si>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</si>
  <si>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</si>
  <si>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</si>
  <si>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</si>
  <si>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</si>
  <si>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</si>
  <si>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</si>
  <si>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</si>
  <si>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</si>
  <si>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</si>
  <si>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</si>
  <si>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</si>
  <si>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</si>
  <si>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</si>
  <si>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</si>
  <si>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</si>
  <si>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</si>
  <si>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</si>
  <si>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</si>
  <si>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</si>
  <si>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</si>
  <si>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</si>
  <si>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</si>
  <si>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</si>
  <si>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</si>
  <si>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</si>
  <si>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</si>
  <si>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</si>
  <si>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</si>
  <si>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</si>
  <si>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</si>
  <si>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</si>
  <si>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</si>
  <si>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</si>
  <si>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</si>
  <si>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</si>
  <si>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</si>
  <si>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</si>
  <si>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</si>
  <si>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</si>
  <si>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</si>
  <si>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</si>
  <si>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</si>
  <si>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</si>
  <si>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</si>
  <si>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</si>
  <si>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</si>
  <si>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</si>
  <si>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</si>
  <si>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</si>
  <si>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</si>
  <si>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</si>
  <si>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</si>
  <si>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</si>
  <si>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</si>
  <si>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</si>
  <si>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</si>
  <si>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</si>
  <si>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</si>
  <si>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</si>
  <si>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</si>
  <si>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</si>
  <si>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</si>
  <si>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</si>
  <si>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</si>
  <si>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</si>
  <si>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</si>
  <si>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</si>
  <si>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</si>
  <si>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</si>
  <si>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</si>
  <si>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</si>
  <si>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</si>
  <si>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</si>
  <si>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</si>
  <si>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</si>
  <si>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</si>
  <si>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</si>
  <si>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</si>
  <si>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</si>
  <si>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</si>
  <si>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</si>
  <si>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</si>
  <si>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</si>
  <si>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</si>
  <si>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</si>
  <si>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</si>
  <si>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</si>
  <si>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</si>
  <si>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</si>
  <si>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</si>
  <si>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</si>
  <si>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</si>
  <si>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</si>
  <si>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</si>
  <si>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</si>
  <si>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</si>
  <si>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</si>
  <si>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</si>
  <si>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</si>
  <si>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</si>
  <si>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</si>
  <si>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</si>
  <si>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</si>
  <si>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</si>
  <si>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</si>
  <si>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</si>
  <si>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</si>
  <si>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</si>
  <si>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</si>
  <si>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</si>
  <si>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</si>
  <si>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</si>
  <si>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</si>
  <si>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</si>
  <si>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</si>
  <si>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</si>
  <si>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</si>
  <si>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</si>
  <si>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</si>
  <si>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</si>
  <si>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</si>
  <si>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</si>
  <si>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</si>
  <si>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</si>
  <si>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</si>
  <si>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</si>
  <si>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</si>
  <si>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</si>
  <si>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</si>
  <si>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</si>
  <si>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</si>
  <si>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</si>
  <si>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</si>
  <si>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</si>
  <si>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</si>
  <si>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</si>
  <si>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</si>
  <si>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</si>
  <si>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</si>
  <si>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</si>
  <si>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</si>
  <si>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</si>
  <si>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</si>
  <si>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</si>
  <si>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</si>
  <si>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</si>
  <si>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</si>
  <si>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</si>
  <si>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</si>
  <si>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</si>
  <si>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</si>
  <si>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</si>
  <si>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</si>
  <si>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</si>
  <si>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</si>
  <si>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</si>
  <si>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</si>
  <si>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</si>
  <si>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</si>
  <si>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</si>
  <si>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</si>
  <si>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</si>
  <si>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</si>
  <si>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</si>
  <si>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</si>
  <si>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</si>
  <si>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</si>
  <si>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</si>
  <si>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</si>
  <si>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</si>
  <si>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</si>
  <si>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</si>
  <si>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</si>
  <si>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</si>
  <si>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</si>
  <si>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</si>
  <si>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</si>
  <si>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</si>
  <si>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</si>
  <si>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</si>
  <si>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</si>
  <si>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</si>
  <si>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</si>
  <si>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</si>
  <si>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</si>
  <si>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</si>
  <si>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</si>
  <si>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</si>
  <si>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</si>
  <si>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</si>
  <si>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</si>
  <si>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</si>
  <si>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</si>
  <si>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</si>
  <si>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</si>
  <si>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</si>
  <si>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</si>
  <si>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</si>
  <si>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</si>
  <si>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</si>
  <si>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</si>
  <si>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</si>
  <si>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</si>
  <si>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</si>
  <si>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</si>
  <si>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</si>
  <si>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</si>
  <si>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</si>
  <si>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</si>
  <si>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</si>
  <si>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</si>
  <si>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</si>
  <si>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</si>
  <si>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</si>
  <si>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</si>
  <si>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</si>
  <si>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</si>
  <si>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</si>
  <si>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</si>
  <si>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</si>
  <si>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</si>
  <si>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</si>
  <si>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</si>
  <si>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</si>
  <si>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</si>
  <si>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</si>
  <si>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</si>
  <si>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</si>
  <si>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</si>
  <si>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</si>
  <si>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</si>
  <si>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</si>
  <si>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</si>
  <si>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</si>
  <si>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</si>
  <si>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</si>
  <si>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</si>
  <si>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</si>
  <si>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</si>
  <si>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</si>
  <si>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</si>
  <si>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</si>
  <si>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</si>
  <si>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</si>
  <si>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</si>
  <si>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</si>
  <si>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</si>
  <si>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</si>
  <si>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</si>
  <si>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</si>
  <si>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</si>
  <si>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</si>
  <si>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</si>
  <si>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</si>
  <si>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</si>
  <si>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</si>
  <si>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</si>
  <si>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</si>
  <si>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</si>
  <si>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</si>
  <si>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</si>
  <si>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</si>
  <si>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</si>
  <si>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</si>
  <si>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</si>
  <si>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</si>
  <si>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</si>
  <si>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</si>
  <si>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</si>
  <si>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</si>
  <si>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</si>
  <si>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</si>
  <si>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</si>
  <si>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</si>
  <si>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</si>
  <si>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</si>
  <si>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</si>
  <si>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</si>
  <si>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</si>
  <si>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</si>
  <si>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</si>
  <si>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</si>
  <si>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</si>
  <si>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</si>
  <si>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</si>
  <si>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</si>
  <si>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</si>
  <si>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</si>
  <si>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</si>
  <si>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</si>
  <si>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</si>
  <si>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</si>
  <si>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</si>
  <si>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</si>
  <si>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</si>
  <si>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</si>
  <si>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</si>
  <si>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</si>
  <si>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</si>
  <si>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</si>
  <si>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</si>
  <si>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</si>
  <si>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</si>
  <si>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</si>
  <si>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</si>
  <si>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</si>
  <si>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</si>
  <si>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</si>
  <si>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</si>
  <si>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</si>
  <si>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</si>
  <si>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</si>
  <si>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</si>
  <si>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</si>
  <si>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</si>
  <si>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</si>
  <si>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</si>
  <si>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</si>
  <si>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</si>
  <si>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</si>
  <si>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</si>
  <si>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</si>
  <si>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</si>
  <si>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</si>
  <si>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</si>
  <si>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</si>
  <si>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</si>
  <si>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</si>
  <si>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</si>
  <si>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</si>
  <si>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</si>
  <si>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</si>
  <si>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</si>
  <si>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</si>
  <si>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</si>
  <si>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</si>
  <si>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</si>
  <si>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</si>
  <si>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</si>
  <si>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</si>
  <si>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</si>
  <si>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</si>
  <si>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</si>
  <si>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</si>
  <si>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</si>
  <si>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</si>
  <si>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</si>
  <si>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</si>
  <si>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</si>
  <si>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</si>
  <si>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</si>
  <si>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</si>
  <si>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</si>
  <si>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</si>
  <si>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</si>
  <si>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</si>
  <si>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</si>
  <si>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</si>
  <si>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</si>
  <si>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</si>
  <si>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</si>
  <si>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</si>
  <si>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</si>
  <si>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</si>
  <si>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</si>
  <si>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</si>
  <si>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</si>
  <si>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</si>
  <si>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</si>
  <si>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</si>
  <si>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</si>
  <si>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</si>
  <si>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</si>
  <si>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</si>
  <si>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</si>
  <si>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</si>
  <si>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</si>
  <si>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</si>
  <si>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</si>
  <si>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</si>
  <si>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</si>
  <si>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</si>
  <si>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</si>
  <si>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</si>
  <si>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</si>
  <si>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</si>
  <si>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</si>
  <si>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</si>
  <si>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</si>
  <si>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</si>
  <si>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</si>
  <si>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</si>
  <si>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</si>
  <si>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</si>
  <si>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</si>
  <si>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</si>
  <si>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</si>
  <si>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</si>
  <si>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</si>
  <si>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</si>
  <si>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</si>
  <si>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</si>
  <si>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</si>
  <si>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</si>
  <si>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</si>
  <si>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</si>
  <si>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</si>
  <si>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</si>
  <si>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</si>
  <si>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</si>
  <si>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</si>
  <si>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</si>
  <si>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</si>
  <si>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</si>
  <si>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</si>
  <si>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</si>
  <si>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</si>
  <si>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</si>
  <si>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</si>
  <si>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</si>
  <si>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</si>
  <si>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</si>
  <si>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</si>
  <si>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</si>
  <si>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</si>
  <si>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</si>
  <si>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</si>
  <si>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</si>
  <si>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</si>
  <si>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</si>
  <si>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</si>
  <si>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</si>
  <si>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</si>
  <si>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</si>
  <si>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</si>
  <si>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</si>
  <si>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</si>
  <si>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</si>
  <si>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</si>
  <si>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</si>
  <si>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</si>
  <si>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</si>
  <si>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</si>
  <si>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</si>
  <si>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</si>
  <si>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</si>
  <si>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</si>
  <si>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</si>
  <si>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</si>
  <si>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</si>
  <si>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</si>
  <si>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</si>
  <si>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</si>
  <si>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</si>
  <si>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</si>
  <si>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</si>
  <si>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</si>
  <si>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</si>
  <si>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</si>
  <si>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</si>
  <si>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</si>
  <si>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</si>
  <si>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</si>
  <si>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</si>
  <si>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</si>
  <si>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</si>
  <si>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</si>
  <si>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</si>
  <si>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</si>
  <si>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</si>
  <si>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</si>
  <si>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</si>
  <si>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</si>
  <si>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</si>
  <si>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</si>
  <si>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</si>
  <si>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</si>
  <si>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</si>
  <si>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</si>
  <si>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</si>
  <si>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</si>
  <si>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</si>
  <si>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</si>
  <si>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</si>
  <si>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</si>
  <si>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</si>
  <si>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</si>
  <si>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</si>
  <si>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</si>
  <si>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</si>
  <si>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</si>
  <si>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</si>
  <si>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</si>
  <si>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</si>
  <si>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</si>
  <si>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</si>
  <si>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</si>
  <si>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</si>
  <si>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</si>
  <si>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</si>
  <si>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</si>
  <si>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</si>
  <si>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</si>
  <si>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</si>
  <si>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</si>
  <si>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</si>
  <si>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</si>
  <si>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</si>
  <si>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</si>
  <si>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</si>
  <si>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</si>
  <si>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</si>
  <si>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</si>
  <si>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</si>
  <si>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</si>
  <si>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</si>
  <si>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</si>
  <si>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</si>
  <si>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</si>
  <si>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</si>
  <si>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</si>
  <si>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</si>
  <si>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</si>
  <si>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</si>
  <si>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</si>
  <si>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</si>
  <si>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</si>
  <si>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</si>
  <si>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</si>
  <si>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</si>
  <si>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</si>
  <si>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</si>
  <si>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</si>
  <si>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</si>
  <si>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</si>
  <si>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</si>
  <si>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</si>
  <si>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</si>
  <si>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</si>
  <si>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</si>
  <si>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</si>
  <si>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</si>
  <si>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</si>
  <si>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</si>
  <si>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</si>
  <si>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</si>
  <si>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</si>
  <si>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</si>
  <si>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</si>
  <si>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</si>
  <si>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</si>
  <si>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</si>
  <si>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</si>
  <si>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</si>
  <si>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</si>
  <si>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</si>
  <si>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</si>
  <si>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</si>
  <si>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</si>
  <si>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</si>
  <si>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</si>
  <si>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</si>
  <si>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</si>
  <si>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</si>
  <si>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</si>
  <si>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</si>
  <si>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</si>
  <si>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</si>
  <si>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</si>
  <si>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</si>
  <si>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</si>
  <si>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</si>
  <si>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</si>
  <si>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</si>
  <si>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</si>
  <si>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</si>
  <si>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</si>
  <si>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</si>
  <si>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</si>
  <si>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</si>
  <si>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</si>
  <si>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</si>
  <si>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</si>
  <si>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</si>
  <si>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</si>
  <si>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</si>
  <si>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</si>
  <si>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</si>
  <si>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</si>
  <si>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</si>
  <si>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</si>
  <si>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</si>
  <si>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</si>
  <si>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</si>
  <si>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</si>
  <si>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</si>
  <si>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</si>
  <si>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</si>
  <si>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</si>
  <si>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</si>
  <si>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</si>
  <si>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</si>
  <si>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</si>
  <si>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</si>
  <si>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</si>
  <si>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</si>
  <si>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</si>
  <si>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</si>
  <si>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</si>
  <si>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</si>
  <si>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</si>
  <si>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</si>
  <si>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</si>
  <si>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</si>
  <si>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</si>
  <si>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</si>
  <si>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</si>
  <si>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</si>
  <si>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</si>
  <si>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</si>
  <si>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</si>
  <si>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</si>
  <si>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</si>
  <si>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</si>
  <si>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</si>
  <si>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</si>
  <si>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</si>
  <si>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</si>
  <si>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</si>
  <si>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</si>
  <si>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</si>
  <si>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</si>
  <si>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</si>
  <si>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</si>
  <si>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</si>
  <si>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</si>
  <si>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</si>
  <si>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</si>
  <si>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</si>
  <si>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</si>
  <si>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</si>
  <si>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</si>
  <si>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</si>
  <si>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</si>
  <si>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</si>
  <si>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</si>
  <si>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</si>
  <si>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</si>
  <si>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</si>
  <si>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</si>
  <si>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</si>
  <si>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</si>
  <si>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</si>
  <si>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</si>
  <si>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</si>
  <si>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</si>
  <si>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</si>
  <si>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</si>
  <si>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</si>
  <si>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</si>
  <si>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</si>
  <si>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</si>
  <si>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</si>
  <si>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</si>
  <si>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</si>
  <si>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</si>
  <si>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</si>
  <si>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</si>
  <si>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</si>
  <si>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</si>
  <si>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</si>
  <si>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</si>
  <si>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</si>
  <si>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</si>
  <si>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</si>
  <si>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</si>
  <si>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</si>
  <si>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</si>
  <si>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</si>
  <si>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</si>
  <si>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</si>
  <si>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</si>
  <si>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</si>
  <si>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</si>
  <si>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</si>
  <si>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</si>
  <si>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</si>
  <si>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</si>
  <si>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</si>
  <si>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</si>
  <si>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</si>
  <si>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</si>
  <si>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</si>
  <si>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</si>
  <si>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</si>
  <si>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</si>
  <si>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</si>
  <si>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</si>
  <si>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</si>
  <si>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</si>
  <si>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</si>
  <si>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</si>
  <si>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</si>
  <si>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</si>
  <si>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</si>
  <si>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</si>
  <si>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</si>
  <si>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</si>
  <si>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</si>
  <si>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</si>
  <si>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</si>
  <si>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</si>
  <si>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</si>
  <si>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</si>
  <si>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</si>
  <si>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</si>
  <si>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</si>
  <si>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</si>
  <si>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</si>
  <si>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</si>
  <si>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</si>
  <si>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</si>
  <si>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</si>
  <si>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</si>
  <si>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</si>
  <si>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</si>
  <si>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</si>
  <si>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</si>
  <si>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</si>
  <si>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</si>
  <si>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</si>
  <si>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</si>
  <si>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</si>
  <si>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</si>
  <si>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</si>
  <si>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</si>
  <si>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</si>
  <si>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</si>
  <si>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</si>
  <si>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</si>
  <si>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</si>
  <si>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</si>
  <si>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</si>
  <si>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</si>
  <si>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</si>
  <si>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</si>
  <si>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</si>
  <si>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</si>
  <si>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</si>
  <si>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</si>
  <si>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</si>
  <si>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</si>
  <si>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</si>
  <si>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</si>
  <si>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</si>
  <si>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</si>
  <si>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</si>
  <si>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</si>
  <si>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</si>
  <si>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</si>
  <si>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</si>
  <si>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</si>
  <si>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</si>
  <si>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</si>
  <si>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</si>
  <si>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</si>
  <si>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</si>
  <si>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</si>
  <si>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</si>
  <si>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</si>
  <si>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</si>
  <si>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</si>
  <si>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</si>
  <si>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</si>
  <si>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</si>
  <si>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</si>
  <si>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</si>
  <si>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</si>
  <si>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</si>
  <si>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</si>
  <si>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</si>
  <si>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</si>
  <si>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</si>
  <si>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</si>
  <si>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</si>
  <si>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</si>
  <si>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</si>
  <si>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</si>
  <si>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</si>
  <si>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</si>
  <si>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</si>
  <si>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</si>
  <si>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</si>
  <si>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</si>
  <si>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</si>
  <si>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</si>
  <si>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</si>
  <si>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</si>
  <si>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</si>
  <si>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</si>
  <si>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</si>
  <si>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</si>
  <si>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</si>
  <si>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</si>
  <si>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</si>
  <si>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</si>
  <si>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</si>
  <si>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</si>
  <si>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</si>
  <si>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</si>
  <si>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</si>
  <si>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</si>
  <si>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</si>
  <si>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</si>
  <si>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</si>
  <si>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</si>
  <si>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</si>
  <si>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</si>
  <si>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</si>
  <si>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</si>
  <si>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</si>
  <si>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</si>
  <si>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</si>
  <si>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</si>
  <si>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</si>
  <si>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</si>
  <si>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</si>
  <si>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</si>
  <si>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</si>
  <si>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</si>
  <si>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</si>
  <si>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</si>
  <si>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</si>
  <si>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</si>
  <si>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</si>
  <si>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</si>
  <si>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</si>
  <si>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</si>
  <si>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</si>
  <si>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</si>
  <si>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</si>
  <si>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</si>
  <si>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</si>
  <si>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</si>
  <si>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</si>
  <si>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</si>
  <si>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</si>
  <si>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</si>
  <si>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</si>
  <si>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</si>
  <si>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</si>
  <si>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</si>
  <si>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</si>
  <si>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</si>
  <si>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</si>
  <si>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</si>
  <si>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</si>
  <si>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</si>
  <si>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</si>
  <si>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</si>
  <si>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</si>
  <si>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</si>
  <si>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</si>
  <si>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</si>
  <si>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</si>
  <si>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</si>
  <si>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</si>
  <si>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</si>
  <si>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</si>
  <si>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</si>
  <si>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</si>
  <si>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</si>
  <si>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</si>
  <si>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</si>
  <si>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</si>
  <si>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</si>
  <si>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</si>
  <si>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</si>
  <si>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</si>
  <si>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</si>
  <si>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</si>
  <si>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</si>
  <si>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</si>
  <si>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</si>
  <si>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</si>
  <si>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</si>
  <si>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</si>
  <si>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</si>
  <si>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</si>
  <si>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</si>
  <si>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</si>
  <si>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</si>
  <si>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</si>
  <si>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</si>
  <si>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</si>
  <si>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</si>
  <si>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</si>
  <si>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</si>
  <si>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</si>
  <si>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</si>
  <si>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</si>
  <si>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</si>
  <si>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</si>
  <si>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</si>
  <si>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</si>
  <si>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</si>
  <si>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</si>
  <si>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</si>
  <si>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</si>
  <si>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</si>
  <si>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</si>
  <si>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</si>
  <si>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</si>
  <si>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</si>
  <si>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</si>
  <si>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</si>
  <si>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</si>
  <si>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</si>
  <si>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</si>
  <si>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</si>
  <si>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</si>
  <si>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</si>
  <si>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</si>
  <si>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</si>
  <si>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</si>
  <si>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</si>
  <si>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</si>
  <si>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</si>
  <si>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</si>
  <si>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</si>
  <si>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</si>
  <si>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</si>
  <si>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</si>
  <si>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</si>
  <si>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</si>
  <si>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</si>
  <si>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</si>
  <si>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</si>
  <si>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</si>
  <si>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</si>
  <si>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</si>
  <si>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</si>
  <si>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</si>
  <si>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</si>
  <si>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</si>
  <si>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</si>
  <si>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</si>
  <si>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</si>
  <si>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</si>
  <si>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</si>
  <si>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</si>
  <si>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</si>
  <si>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</si>
  <si>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</si>
  <si>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</si>
  <si>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</si>
  <si>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</si>
  <si>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</si>
  <si>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</si>
  <si>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</si>
  <si>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</si>
  <si>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</si>
  <si>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</si>
  <si>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</si>
  <si>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</si>
  <si>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</si>
  <si>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</si>
  <si>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</si>
  <si>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</si>
  <si>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</si>
  <si>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</si>
  <si>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</si>
  <si>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</si>
  <si>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</si>
  <si>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</si>
  <si>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</si>
  <si>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</si>
  <si>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</si>
  <si>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</si>
  <si>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</si>
  <si>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</si>
  <si>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</si>
  <si>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</si>
  <si>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</si>
  <si>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</si>
  <si>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</si>
  <si>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</si>
  <si>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</si>
  <si>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</si>
  <si>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</si>
  <si>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</si>
  <si>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</si>
  <si>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</si>
  <si>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</si>
  <si>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</si>
  <si>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</si>
  <si>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</si>
  <si>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</si>
  <si>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</si>
  <si>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</si>
  <si>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</si>
  <si>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</si>
  <si>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</si>
  <si>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</si>
  <si>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</si>
  <si>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</si>
  <si>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</si>
  <si>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</si>
  <si>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</si>
  <si>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</si>
  <si>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</si>
  <si>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</si>
  <si>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</si>
  <si>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</si>
  <si>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</si>
  <si>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</si>
  <si>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</si>
  <si>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</si>
  <si>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</si>
  <si>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</si>
  <si>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</si>
  <si>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</si>
  <si>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</si>
  <si>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</si>
  <si>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</si>
  <si>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</si>
  <si>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</si>
  <si>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</si>
  <si>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</si>
  <si>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</si>
  <si>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</si>
  <si>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</si>
  <si>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</si>
  <si>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</si>
  <si>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</si>
  <si>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</si>
  <si>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</si>
  <si>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</si>
  <si>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</si>
  <si>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</si>
  <si>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</si>
  <si>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</si>
  <si>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</si>
  <si>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</si>
  <si>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</si>
  <si>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</si>
  <si>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</si>
  <si>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</si>
  <si>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</si>
  <si>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</si>
  <si>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</si>
  <si>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</si>
  <si>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</si>
  <si>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</si>
  <si>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</si>
  <si>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</si>
  <si>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</si>
  <si>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</si>
  <si>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</si>
  <si>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</si>
  <si>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</si>
  <si>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</si>
  <si>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</si>
  <si>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</si>
  <si>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</si>
  <si>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</si>
  <si>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</si>
  <si>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</si>
  <si>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</si>
  <si>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</si>
  <si>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</si>
  <si>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</si>
  <si>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</si>
  <si>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</si>
  <si>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</si>
  <si>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</si>
  <si>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</si>
  <si>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</si>
  <si>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</si>
  <si>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</si>
  <si>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</si>
  <si>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</si>
  <si>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</si>
  <si>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</si>
  <si>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</si>
  <si>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</si>
  <si>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</si>
  <si>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</si>
  <si>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</si>
  <si>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</si>
  <si>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</si>
  <si>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</si>
  <si>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</si>
  <si>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</si>
  <si>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</si>
  <si>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</si>
  <si>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</si>
  <si>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</si>
  <si>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</si>
  <si>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</si>
  <si>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</si>
  <si>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</si>
  <si>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</si>
  <si>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</si>
  <si>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</si>
  <si>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</si>
  <si>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</si>
  <si>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</si>
  <si>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</si>
  <si>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</si>
  <si>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</si>
  <si>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</si>
  <si>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</si>
  <si>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</si>
  <si>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</si>
  <si>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</si>
  <si>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</si>
  <si>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</si>
  <si>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</si>
  <si>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</si>
  <si>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</si>
  <si>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</si>
  <si>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</si>
  <si>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</si>
  <si>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</si>
  <si>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</si>
  <si>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</si>
  <si>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</si>
  <si>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</si>
  <si>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</si>
  <si>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</si>
  <si>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</si>
  <si>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</si>
  <si>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</si>
  <si>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</si>
  <si>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</si>
  <si>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</si>
  <si>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</si>
  <si>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</si>
  <si>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</si>
  <si>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</si>
  <si>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</si>
  <si>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</si>
  <si>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</si>
  <si>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</si>
  <si>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</si>
  <si>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</si>
  <si>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</si>
  <si>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</si>
  <si>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</si>
  <si>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</si>
  <si>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</si>
  <si>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</si>
  <si>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</si>
  <si>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</si>
  <si>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</si>
  <si>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</si>
  <si>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</si>
  <si>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</si>
  <si>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</si>
  <si>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</si>
  <si>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</si>
  <si>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</si>
  <si>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</si>
  <si>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</si>
  <si>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</si>
  <si>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</si>
  <si>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</si>
  <si>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</si>
  <si>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</si>
  <si>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</si>
  <si>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</si>
  <si>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</si>
  <si>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</si>
  <si>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</si>
  <si>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</si>
  <si>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</si>
  <si>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</si>
  <si>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</si>
  <si>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</si>
  <si>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</si>
  <si>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</si>
  <si>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</si>
  <si>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</si>
  <si>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</si>
  <si>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</si>
  <si>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</si>
  <si>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</si>
  <si>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</si>
  <si>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</si>
  <si>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</si>
  <si>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</si>
  <si>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</si>
  <si>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</si>
  <si>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</si>
  <si>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</si>
  <si>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</si>
  <si>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</si>
  <si>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</si>
  <si>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</si>
  <si>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</si>
  <si>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</si>
  <si>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</si>
  <si>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</si>
  <si>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</si>
  <si>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</si>
  <si>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</si>
  <si>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</si>
  <si>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</si>
  <si>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</si>
  <si>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</si>
  <si>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</si>
  <si>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</si>
  <si>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</si>
  <si>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</si>
  <si>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</si>
  <si>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</si>
  <si>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</si>
  <si>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</si>
  <si>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</si>
  <si>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</si>
  <si>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</si>
  <si>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</si>
  <si>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</si>
  <si>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</si>
  <si>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</si>
  <si>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</si>
  <si>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</si>
  <si>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</si>
  <si>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</si>
  <si>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</si>
  <si>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</si>
  <si>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</si>
  <si>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</si>
  <si>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</si>
  <si>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</si>
  <si>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</si>
  <si>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</si>
  <si>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</si>
  <si>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</si>
  <si>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</si>
  <si>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</si>
  <si>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</si>
  <si>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</si>
  <si>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</si>
  <si>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</si>
  <si>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</si>
  <si>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</si>
  <si>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</si>
  <si>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</si>
  <si>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</si>
  <si>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</si>
  <si>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</si>
  <si>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</si>
  <si>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</si>
  <si>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</si>
  <si>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</si>
  <si>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</si>
  <si>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</si>
  <si>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</si>
  <si>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</si>
  <si>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</si>
  <si>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</si>
  <si>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</si>
  <si>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</si>
  <si>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</si>
  <si>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</si>
  <si>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</si>
  <si>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</si>
  <si>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</si>
  <si>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</si>
  <si>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</si>
  <si>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</si>
  <si>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</si>
  <si>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</si>
  <si>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</si>
  <si>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</si>
  <si>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</si>
  <si>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</si>
  <si>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</si>
  <si>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</si>
  <si>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</si>
  <si>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</si>
  <si>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</si>
  <si>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</si>
  <si>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</si>
  <si>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</si>
  <si>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</si>
  <si>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</si>
  <si>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</si>
  <si>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</si>
  <si>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</si>
  <si>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</si>
  <si>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</si>
  <si>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</si>
  <si>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</si>
  <si>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</si>
  <si>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</si>
  <si>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</si>
  <si>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</si>
  <si>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</si>
  <si>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</si>
  <si>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</si>
  <si>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</si>
  <si>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</si>
  <si>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</si>
  <si>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</si>
  <si>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</si>
  <si>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</si>
  <si>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</si>
  <si>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</si>
  <si>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</si>
  <si>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</si>
  <si>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</si>
  <si>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</si>
  <si>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</si>
  <si>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</si>
  <si>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</si>
  <si>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</si>
  <si>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</si>
  <si>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</si>
  <si>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</si>
  <si>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</si>
  <si>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</si>
  <si>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</si>
  <si>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</si>
  <si>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</si>
  <si>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</si>
  <si>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</si>
  <si>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</si>
  <si>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</si>
  <si>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</si>
  <si>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</si>
  <si>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</si>
  <si>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</si>
  <si>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</si>
  <si>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</si>
  <si>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</si>
  <si>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</si>
  <si>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</si>
  <si>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</si>
  <si>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</si>
  <si>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</si>
  <si>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</si>
  <si>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</si>
  <si>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</si>
  <si>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</si>
  <si>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</si>
  <si>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</si>
  <si>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</si>
  <si>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</si>
  <si>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</si>
  <si>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</si>
  <si>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</si>
  <si>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</si>
  <si>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</si>
  <si>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</si>
  <si>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</si>
  <si>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</si>
  <si>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</si>
  <si>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</si>
  <si>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</si>
  <si>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</si>
  <si>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</si>
  <si>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</si>
  <si>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</si>
  <si>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</si>
  <si>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</si>
  <si>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</si>
  <si>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</si>
  <si>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</si>
  <si>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</si>
  <si>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</si>
  <si>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</si>
  <si>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</si>
  <si>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</si>
  <si>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</si>
  <si>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</si>
  <si>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</si>
  <si>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</si>
  <si>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</si>
  <si>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</si>
  <si>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</si>
  <si>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</si>
  <si>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</si>
  <si>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</si>
  <si>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</si>
  <si>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</si>
  <si>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</si>
  <si>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</si>
  <si>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</si>
  <si>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</si>
  <si>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</si>
  <si>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</si>
  <si>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</si>
  <si>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</si>
  <si>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</si>
  <si>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</si>
  <si>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</si>
  <si>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</si>
  <si>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</si>
  <si>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</si>
  <si>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</si>
  <si>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</si>
  <si>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</si>
  <si>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</si>
  <si>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</si>
  <si>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</si>
  <si>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</si>
  <si>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</si>
  <si>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</si>
  <si>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</si>
  <si>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</si>
  <si>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</si>
  <si>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</si>
  <si>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</si>
  <si>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</si>
  <si>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</si>
  <si>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</si>
  <si>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</si>
  <si>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</si>
  <si>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</si>
  <si>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</si>
  <si>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</si>
  <si>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</si>
  <si>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</si>
  <si>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</si>
  <si>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</si>
  <si>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</si>
  <si>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</si>
  <si>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</si>
  <si>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</si>
  <si>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</si>
  <si>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</si>
  <si>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</si>
  <si>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</si>
  <si>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</si>
  <si>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</si>
  <si>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</si>
  <si>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</si>
  <si>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</si>
  <si>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</si>
  <si>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</si>
  <si>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</si>
  <si>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</si>
  <si>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</si>
  <si>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</si>
  <si>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</si>
  <si>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</si>
  <si>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</si>
  <si>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</si>
  <si>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</si>
  <si>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</si>
  <si>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</si>
  <si>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</si>
  <si>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</si>
  <si>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</si>
  <si>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</si>
  <si>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</si>
  <si>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</si>
  <si>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</si>
  <si>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</si>
  <si>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</si>
  <si>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</si>
  <si>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</si>
  <si>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</si>
  <si>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</si>
  <si>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</si>
  <si>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</si>
  <si>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</si>
  <si>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</si>
  <si>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</si>
  <si>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</si>
  <si>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</si>
  <si>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</si>
  <si>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</si>
  <si>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</si>
  <si>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</si>
  <si>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</si>
  <si>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</si>
  <si>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</si>
  <si>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</si>
  <si>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</si>
  <si>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</si>
  <si>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</si>
  <si>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</si>
  <si>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</si>
  <si>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</si>
  <si>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</si>
  <si>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</si>
  <si>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</si>
  <si>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</si>
  <si>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</si>
  <si>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</si>
  <si>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</si>
  <si>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</si>
  <si>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</si>
  <si>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</si>
  <si>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</si>
  <si>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</si>
  <si>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</si>
  <si>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</si>
  <si>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</si>
  <si>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</si>
  <si>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</si>
  <si>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</si>
  <si>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</si>
  <si>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</si>
  <si>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</si>
  <si>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</si>
  <si>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</si>
  <si>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</si>
  <si>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</si>
  <si>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</si>
  <si>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</si>
  <si>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</si>
  <si>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</si>
  <si>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</si>
  <si>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</si>
  <si>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</si>
  <si>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</si>
  <si>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</si>
  <si>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</si>
  <si>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</si>
  <si>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</si>
  <si>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</si>
  <si>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</si>
  <si>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</si>
  <si>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</si>
  <si>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</si>
  <si>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</si>
  <si>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</si>
  <si>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</si>
  <si>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</si>
  <si>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</si>
  <si>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</si>
  <si>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</si>
  <si>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</si>
  <si>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</si>
  <si>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</si>
  <si>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</si>
  <si>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</si>
  <si>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</si>
  <si>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</si>
  <si>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</si>
  <si>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</si>
  <si>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</si>
  <si>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</si>
  <si>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</si>
  <si>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</si>
  <si>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</si>
  <si>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</si>
  <si>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</si>
  <si>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</si>
  <si>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</si>
  <si>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</si>
  <si>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</si>
  <si>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</si>
  <si>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</si>
  <si>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</si>
  <si>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</si>
  <si>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</si>
  <si>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</si>
  <si>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</si>
  <si>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</si>
  <si>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</si>
  <si>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</si>
  <si>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</si>
  <si>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</si>
  <si>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</si>
  <si>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</si>
  <si>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</si>
  <si>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</si>
  <si>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</si>
  <si>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</si>
  <si>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</si>
  <si>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</si>
  <si>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</si>
  <si>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</si>
  <si>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</si>
  <si>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</si>
  <si>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</si>
  <si>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</si>
  <si>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</si>
  <si>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</si>
  <si>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</si>
  <si>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</si>
  <si>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</si>
  <si>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</si>
  <si>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</si>
  <si>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</si>
  <si>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</si>
  <si>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</si>
  <si>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</si>
  <si>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</si>
  <si>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</si>
  <si>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</si>
  <si>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</si>
  <si>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</si>
  <si>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</si>
  <si>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</si>
  <si>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</si>
  <si>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</si>
  <si>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</si>
  <si>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</si>
  <si>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</si>
  <si>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</si>
  <si>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</si>
  <si>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</si>
  <si>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</si>
  <si>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</si>
  <si>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</si>
  <si>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</si>
  <si>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</si>
  <si>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</si>
  <si>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</si>
  <si>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</si>
  <si>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</si>
  <si>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</si>
  <si>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</si>
  <si>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</si>
  <si>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</si>
  <si>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</si>
  <si>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</si>
  <si>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</si>
  <si>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</si>
  <si>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</si>
  <si>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</si>
  <si>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</si>
  <si>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</si>
  <si>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</si>
  <si>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</si>
  <si>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</si>
  <si>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</si>
  <si>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</si>
  <si>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</si>
  <si>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</si>
  <si>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</si>
  <si>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</si>
  <si>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</si>
  <si>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</si>
  <si>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</si>
  <si>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</si>
  <si>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</si>
  <si>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</si>
  <si>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</si>
  <si>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</si>
  <si>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</si>
  <si>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</si>
  <si>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</si>
  <si>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</si>
  <si>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</si>
  <si>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</si>
  <si>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</si>
  <si>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</si>
  <si>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</si>
  <si>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</si>
  <si>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</si>
  <si>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</si>
  <si>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</si>
  <si>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</si>
  <si>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</si>
  <si>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</si>
  <si>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</si>
  <si>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</si>
  <si>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</si>
  <si>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</si>
  <si>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</si>
  <si>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</si>
  <si>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</si>
  <si>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</si>
  <si>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</si>
  <si>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</si>
  <si>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</si>
  <si>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</si>
  <si>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</si>
  <si>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</si>
  <si>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</si>
  <si>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</si>
  <si>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</si>
  <si>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</si>
  <si>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</si>
  <si>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</si>
  <si>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</si>
  <si>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</si>
  <si>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</si>
  <si>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</si>
  <si>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</si>
  <si>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</si>
  <si>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</si>
  <si>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</si>
  <si>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</si>
  <si>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</si>
  <si>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</si>
  <si>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</si>
  <si>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</si>
  <si>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</si>
  <si>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</si>
  <si>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</si>
  <si>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</si>
  <si>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</si>
  <si>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</si>
  <si>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</si>
  <si>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</si>
  <si>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</si>
  <si>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</si>
  <si>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</si>
  <si>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</si>
  <si>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</si>
  <si>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</si>
  <si>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</si>
  <si>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</si>
  <si>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</si>
  <si>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</si>
  <si>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</si>
  <si>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</si>
  <si>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</si>
  <si>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</si>
  <si>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</si>
  <si>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</si>
  <si>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</si>
  <si>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</si>
  <si>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</si>
  <si>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</si>
  <si>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</si>
  <si>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</si>
  <si>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</si>
  <si>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</si>
  <si>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</si>
  <si>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</si>
  <si>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</si>
  <si>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</si>
  <si>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</si>
  <si>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</si>
  <si>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</si>
  <si>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</si>
  <si>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</si>
  <si>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</si>
  <si>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</si>
  <si>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</si>
  <si>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</si>
  <si>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</si>
  <si>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</si>
  <si>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</si>
  <si>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</si>
  <si>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</si>
  <si>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</si>
  <si>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</si>
  <si>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</si>
  <si>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</si>
  <si>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</si>
  <si>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</si>
  <si>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</si>
  <si>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</si>
  <si>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</si>
  <si>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</si>
  <si>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</si>
  <si>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</si>
  <si>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</si>
  <si>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</si>
  <si>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</si>
  <si>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</si>
  <si>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</si>
  <si>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</si>
  <si>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</si>
  <si>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</si>
  <si>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</si>
  <si>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</si>
  <si>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</si>
  <si>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</si>
  <si>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</si>
  <si>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</si>
  <si>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</si>
  <si>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</si>
  <si>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</si>
  <si>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</si>
  <si>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</si>
  <si>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</si>
  <si>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</si>
  <si>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</si>
  <si>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</si>
  <si>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</si>
  <si>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</si>
  <si>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</si>
  <si>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</si>
  <si>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</si>
  <si>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</si>
  <si>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</si>
  <si>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</si>
  <si>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</si>
  <si>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</si>
  <si>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</si>
  <si>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</si>
  <si>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</si>
  <si>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</si>
  <si>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</si>
  <si>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</si>
  <si>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</si>
  <si>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</si>
  <si>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</si>
  <si>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</si>
  <si>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</si>
  <si>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</si>
  <si>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</si>
  <si>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</si>
  <si>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</si>
  <si>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</si>
  <si>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</si>
  <si>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</si>
  <si>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</si>
  <si>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</si>
  <si>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</si>
  <si>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</si>
  <si>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</si>
  <si>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</si>
  <si>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</si>
  <si>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</si>
  <si>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</si>
  <si>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</si>
  <si>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</si>
  <si>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</si>
  <si>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</si>
  <si>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</si>
  <si>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</si>
  <si>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</si>
  <si>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</si>
  <si>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</si>
  <si>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</si>
  <si>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</si>
  <si>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</si>
  <si>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</si>
  <si>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</si>
  <si>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</si>
  <si>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</si>
  <si>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</si>
  <si>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</si>
  <si>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</si>
  <si>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</si>
  <si>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</si>
  <si>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</si>
  <si>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</si>
  <si>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</si>
  <si>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</si>
  <si>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</si>
  <si>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</si>
  <si>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</si>
  <si>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</si>
  <si>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</si>
  <si>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</si>
  <si>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</si>
  <si>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</si>
  <si>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</si>
  <si>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</si>
  <si>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</si>
  <si>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</si>
  <si>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</si>
  <si>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</si>
  <si>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</si>
  <si>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</si>
  <si>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</si>
  <si>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</si>
  <si>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</si>
  <si>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</si>
  <si>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</si>
  <si>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</si>
  <si>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</si>
  <si>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</si>
  <si>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</si>
  <si>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</si>
  <si>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</si>
  <si>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</si>
  <si>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</si>
  <si>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</si>
  <si>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</si>
  <si>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</si>
  <si>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</si>
  <si>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</si>
  <si>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</si>
  <si>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</si>
  <si>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</si>
  <si>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</si>
  <si>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</si>
  <si>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</si>
  <si>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</si>
  <si>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</si>
  <si>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</si>
  <si>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</si>
  <si>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</si>
  <si>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</si>
  <si>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</si>
  <si>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</si>
  <si>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</si>
  <si>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</si>
  <si>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</si>
  <si>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</si>
  <si>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</si>
  <si>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</si>
  <si>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</si>
  <si>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</si>
  <si>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</si>
  <si>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</si>
  <si>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</si>
  <si>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</si>
  <si>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</si>
  <si>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</si>
  <si>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</si>
  <si>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</si>
  <si>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</si>
  <si>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</si>
  <si>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</si>
  <si>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</si>
  <si>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</si>
  <si>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</si>
  <si>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</si>
  <si>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</si>
  <si>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</si>
  <si>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</si>
  <si>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</si>
  <si>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</si>
  <si>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</si>
  <si>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</si>
  <si>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</si>
  <si>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</si>
  <si>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</si>
  <si>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</si>
  <si>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</si>
  <si>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</si>
  <si>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</si>
  <si>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</si>
  <si>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</si>
  <si>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</si>
  <si>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</si>
  <si>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</si>
  <si>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</si>
  <si>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</si>
  <si>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</si>
  <si>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</si>
  <si>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</si>
  <si>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</si>
  <si>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</si>
  <si>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</si>
  <si>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</si>
  <si>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</si>
  <si>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</si>
  <si>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</si>
  <si>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</si>
  <si>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</si>
  <si>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</si>
  <si>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</si>
  <si>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</si>
  <si>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</si>
  <si>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</si>
  <si>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</si>
  <si>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</si>
  <si>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</si>
  <si>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</si>
  <si>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</si>
  <si>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</si>
  <si>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</si>
  <si>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</si>
  <si>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</si>
  <si>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</si>
  <si>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</si>
  <si>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</si>
  <si>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</si>
  <si>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</si>
  <si>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</si>
  <si>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</si>
  <si>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</si>
  <si>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</si>
  <si>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</si>
  <si>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</si>
  <si>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</si>
  <si>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</si>
  <si>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</si>
  <si>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</si>
  <si>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</si>
  <si>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</si>
  <si>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</si>
  <si>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</si>
  <si>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</si>
  <si>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</si>
  <si>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</si>
  <si>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</si>
  <si>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</si>
  <si>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</si>
  <si>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</si>
  <si>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</si>
  <si>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</si>
  <si>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</si>
  <si>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</si>
  <si>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</si>
  <si>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</si>
  <si>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</si>
  <si>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</si>
  <si>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</si>
  <si>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</si>
  <si>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</si>
  <si>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</si>
  <si>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</si>
  <si>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</si>
  <si>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</si>
  <si>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</si>
  <si>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</si>
  <si>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</si>
  <si>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</si>
  <si>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</si>
  <si>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</si>
  <si>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</si>
  <si>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</si>
  <si>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</si>
  <si>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</si>
  <si>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</si>
  <si>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</si>
  <si>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</si>
  <si>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</si>
  <si>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</si>
  <si>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</si>
  <si>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</si>
  <si>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</si>
  <si>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</si>
  <si>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</si>
  <si>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</si>
  <si>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</si>
  <si>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</si>
  <si>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</si>
  <si>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</si>
  <si>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</si>
  <si>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</si>
  <si>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</si>
  <si>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</si>
  <si>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</si>
  <si>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</si>
  <si>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</si>
  <si>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</si>
  <si>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</si>
  <si>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</si>
  <si>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</si>
  <si>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</si>
  <si>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</si>
  <si>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</si>
  <si>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</si>
  <si>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</si>
  <si>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</si>
  <si>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</si>
  <si>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</si>
  <si>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</si>
  <si>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</si>
  <si>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</si>
  <si>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</si>
  <si>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</si>
  <si>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</si>
  <si>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</si>
  <si>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</si>
  <si>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</si>
  <si>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</si>
  <si>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</si>
  <si>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</si>
  <si>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</si>
  <si>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</si>
  <si>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</si>
  <si>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</si>
  <si>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</si>
  <si>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</si>
  <si>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</si>
  <si>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</si>
  <si>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</si>
  <si>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</si>
  <si>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</si>
  <si>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</si>
  <si>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</si>
  <si>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</si>
  <si>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</si>
  <si>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</si>
  <si>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</si>
  <si>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</si>
  <si>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</si>
  <si>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</si>
  <si>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</si>
  <si>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</si>
  <si>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</si>
  <si>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</si>
  <si>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</si>
  <si>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</si>
  <si>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</si>
  <si>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</si>
  <si>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</si>
  <si>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</si>
  <si>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</si>
  <si>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</si>
  <si>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</si>
  <si>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</si>
  <si>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</si>
  <si>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</si>
  <si>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</si>
  <si>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</si>
  <si>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</si>
  <si>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</si>
  <si>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</si>
  <si>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</si>
  <si>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</si>
  <si>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</si>
  <si>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</si>
  <si>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</si>
  <si>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</si>
  <si>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</si>
  <si>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</si>
  <si>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</si>
  <si>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</si>
  <si>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</si>
  <si>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</si>
  <si>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</si>
  <si>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</si>
  <si>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</si>
  <si>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</si>
  <si>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</si>
  <si>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</si>
  <si>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</si>
  <si>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</si>
  <si>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</si>
  <si>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</si>
  <si>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</si>
  <si>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</si>
  <si>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</si>
  <si>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</si>
  <si>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</si>
  <si>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</si>
  <si>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</si>
  <si>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</si>
  <si>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</si>
  <si>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</si>
  <si>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</si>
  <si>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</si>
  <si>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</si>
  <si>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</si>
  <si>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</si>
  <si>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</si>
  <si>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</si>
  <si>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</si>
  <si>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</si>
  <si>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</si>
  <si>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</si>
  <si>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</si>
  <si>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</si>
  <si>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</si>
  <si>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</si>
  <si>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</si>
  <si>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</si>
  <si>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</si>
  <si>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</si>
  <si>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</si>
  <si>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</si>
  <si>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</si>
  <si>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</si>
  <si>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</si>
  <si>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</si>
  <si>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</si>
  <si>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</si>
  <si>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</si>
  <si>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</si>
  <si>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</si>
  <si>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</si>
  <si>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</si>
  <si>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</si>
  <si>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</si>
  <si>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</si>
  <si>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</si>
  <si>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</si>
  <si>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</si>
  <si>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</si>
  <si>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</si>
  <si>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</si>
  <si>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</si>
  <si>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</si>
  <si>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</si>
  <si>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</si>
  <si>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</si>
  <si>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</si>
  <si>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</si>
  <si>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</si>
  <si>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</si>
  <si>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</si>
  <si>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</si>
  <si>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</si>
  <si>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</si>
  <si>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</si>
  <si>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</si>
  <si>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</si>
  <si>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</si>
  <si>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</si>
  <si>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</si>
  <si>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</si>
  <si>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</si>
  <si>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</si>
  <si>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</si>
  <si>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</si>
  <si>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</si>
  <si>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</si>
  <si>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</si>
  <si>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</si>
  <si>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</si>
  <si>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</si>
  <si>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</si>
  <si>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</si>
  <si>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</si>
  <si>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</si>
  <si>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</si>
  <si>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</si>
  <si>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</si>
  <si>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</si>
  <si>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</si>
  <si>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</si>
  <si>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</si>
  <si>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</si>
  <si>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</si>
  <si>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</si>
  <si>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</si>
  <si>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</si>
  <si>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</si>
  <si>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</si>
  <si>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</si>
  <si>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</si>
  <si>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</si>
  <si>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</si>
  <si>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</si>
  <si>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</si>
  <si>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</si>
  <si>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</si>
  <si>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</si>
  <si>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</si>
  <si>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</si>
  <si>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</si>
  <si>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</si>
  <si>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</si>
  <si>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</si>
  <si>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</si>
  <si>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</si>
  <si>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</si>
  <si>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</si>
  <si>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</si>
  <si>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</si>
  <si>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</si>
  <si>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</si>
  <si>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</si>
  <si>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</si>
  <si>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</si>
  <si>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</si>
  <si>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</si>
  <si>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</si>
  <si>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</si>
  <si>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</si>
  <si>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</si>
  <si>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</si>
  <si>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</si>
  <si>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</si>
  <si>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</si>
  <si>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</si>
  <si>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</si>
  <si>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</si>
  <si>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</si>
  <si>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</si>
  <si>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</si>
  <si>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</si>
  <si>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</si>
  <si>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</si>
  <si>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</si>
  <si>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</si>
  <si>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</si>
  <si>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</si>
  <si>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</si>
  <si>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</si>
  <si>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</si>
  <si>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</si>
  <si>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</si>
  <si>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</si>
  <si>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</si>
  <si>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</si>
  <si>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</si>
  <si>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</si>
  <si>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</si>
  <si>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</si>
  <si>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</si>
  <si>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</si>
  <si>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</si>
  <si>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</si>
  <si>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</si>
  <si>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</si>
  <si>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</si>
  <si>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</si>
  <si>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</si>
  <si>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</si>
  <si>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</si>
  <si>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</si>
  <si>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</si>
  <si>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</si>
  <si>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</si>
  <si>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</si>
  <si>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</si>
  <si>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</si>
  <si>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</si>
  <si>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</si>
  <si>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</si>
  <si>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</si>
  <si>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</si>
  <si>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</si>
  <si>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</si>
  <si>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</si>
  <si>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</si>
  <si>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</si>
  <si>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</si>
  <si>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</si>
  <si>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</si>
  <si>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</si>
  <si>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</si>
  <si>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</si>
  <si>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</si>
  <si>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</si>
  <si>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</si>
  <si>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</si>
  <si>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</si>
  <si>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</si>
  <si>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</si>
  <si>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</si>
  <si>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</si>
  <si>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</si>
  <si>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</si>
  <si>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</si>
  <si>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</si>
  <si>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</si>
  <si>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</si>
  <si>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</si>
  <si>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</si>
  <si>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</si>
  <si>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</si>
  <si>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</si>
  <si>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</si>
  <si>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</si>
  <si>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</si>
  <si>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</si>
  <si>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</si>
  <si>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</si>
  <si>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</si>
  <si>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</si>
  <si>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</si>
  <si>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</si>
  <si>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</si>
  <si>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</si>
  <si>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</si>
  <si>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</si>
  <si>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</si>
  <si>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</si>
  <si>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</si>
  <si>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</si>
  <si>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</si>
  <si>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</si>
  <si>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</si>
  <si>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</si>
  <si>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</si>
  <si>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</si>
  <si>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</si>
  <si>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</si>
  <si>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</si>
  <si>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</si>
  <si>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</si>
  <si>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</si>
  <si>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</si>
  <si>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</si>
  <si>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</si>
  <si>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</si>
  <si>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</si>
  <si>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</si>
  <si>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</si>
  <si>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</si>
  <si>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</si>
  <si>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</si>
  <si>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</si>
  <si>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</si>
  <si>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</si>
  <si>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</si>
  <si>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</si>
  <si>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</si>
  <si>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</si>
  <si>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</si>
  <si>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</si>
  <si>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</si>
  <si>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</si>
  <si>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</si>
  <si>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</si>
  <si>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</si>
  <si>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</si>
  <si>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</si>
  <si>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</si>
  <si>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</si>
  <si>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</si>
  <si>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</si>
  <si>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</si>
  <si>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</si>
  <si>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</si>
  <si>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</si>
  <si>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</si>
  <si>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</si>
  <si>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</si>
  <si>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</si>
  <si>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</si>
  <si>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</si>
  <si>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</si>
  <si>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</si>
  <si>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</si>
  <si>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</si>
  <si>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</si>
  <si>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</si>
  <si>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</si>
  <si>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</si>
  <si>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</si>
  <si>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</si>
  <si>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</si>
  <si>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</si>
  <si>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</si>
  <si>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</si>
  <si>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</si>
  <si>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</si>
  <si>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</si>
  <si>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</si>
  <si>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</si>
  <si>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</si>
  <si>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</si>
  <si>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</si>
  <si>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</si>
  <si>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</si>
  <si>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</si>
  <si>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</si>
  <si>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</si>
  <si>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</si>
  <si>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</si>
  <si>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</si>
  <si>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</si>
  <si>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</si>
  <si>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</si>
  <si>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</si>
  <si>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</si>
  <si>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</si>
  <si>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</si>
  <si>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</si>
  <si>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</si>
  <si>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</si>
  <si>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</si>
  <si>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</si>
  <si>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</si>
  <si>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</si>
  <si>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</si>
  <si>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</si>
  <si>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</si>
  <si>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</si>
  <si>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</si>
  <si>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</si>
  <si>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</si>
  <si>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</si>
  <si>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</si>
  <si>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</si>
  <si>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</si>
  <si>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</si>
  <si>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</si>
  <si>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</si>
  <si>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</si>
  <si>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</si>
  <si>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</si>
  <si>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</si>
  <si>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</si>
  <si>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</si>
  <si>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</si>
  <si>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</si>
  <si>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</si>
  <si>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</si>
  <si>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</si>
  <si>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</si>
  <si>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</si>
  <si>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</si>
  <si>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</si>
  <si>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</si>
  <si>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</si>
  <si>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</si>
  <si>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</si>
  <si>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</si>
  <si>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</si>
  <si>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</si>
  <si>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</si>
  <si>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</si>
  <si>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</si>
  <si>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</si>
  <si>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</si>
  <si>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</si>
  <si>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</si>
  <si>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</si>
  <si>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</si>
  <si>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</si>
  <si>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</si>
  <si>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</si>
  <si>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</si>
  <si>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</si>
  <si>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</si>
  <si>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</si>
  <si>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</si>
  <si>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</si>
  <si>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</si>
  <si>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</si>
  <si>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</si>
  <si>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</si>
  <si>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</si>
  <si>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</si>
  <si>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</si>
  <si>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</si>
  <si>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</si>
  <si>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</si>
  <si>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</si>
  <si>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</si>
  <si>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</si>
  <si>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</si>
  <si>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</si>
  <si>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</si>
  <si>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</si>
  <si>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</si>
  <si>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</si>
  <si>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</si>
  <si>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</si>
  <si>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</si>
  <si>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</si>
  <si>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</si>
  <si>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</si>
  <si>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</si>
  <si>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</si>
  <si>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</si>
  <si>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</si>
  <si>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</si>
  <si>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</si>
  <si>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</si>
  <si>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</si>
  <si>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</si>
  <si>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</si>
  <si>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</si>
  <si>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</si>
  <si>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</si>
  <si>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</si>
  <si>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</si>
  <si>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</si>
  <si>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</si>
  <si>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</si>
  <si>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</si>
  <si>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</si>
  <si>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</si>
  <si>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</si>
  <si>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</si>
  <si>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</si>
  <si>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</si>
  <si>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</si>
  <si>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</si>
  <si>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</si>
  <si>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</si>
  <si>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</si>
  <si>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</si>
  <si>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</si>
  <si>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</si>
  <si>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</si>
  <si>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</si>
  <si>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</si>
  <si>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</si>
  <si>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</si>
  <si>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</si>
  <si>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</si>
  <si>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</si>
  <si>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</si>
  <si>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</si>
  <si>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</si>
  <si>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</si>
  <si>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</si>
  <si>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</si>
  <si>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</si>
  <si>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</si>
  <si>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</si>
  <si>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</si>
  <si>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</si>
  <si>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</si>
  <si>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</si>
  <si>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</si>
  <si>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</si>
  <si>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</si>
  <si>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</si>
  <si>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</si>
  <si>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</si>
  <si>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</si>
  <si>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</si>
  <si>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</si>
  <si>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</si>
  <si>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</si>
  <si>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</si>
  <si>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</si>
  <si>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</si>
  <si>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</si>
  <si>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</si>
  <si>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</si>
  <si>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</si>
  <si>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</si>
  <si>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</si>
  <si>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</si>
  <si>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</si>
  <si>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</si>
  <si>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</si>
  <si>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</si>
  <si>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</si>
  <si>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</si>
  <si>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</si>
  <si>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</si>
  <si>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</si>
  <si>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</si>
  <si>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</si>
  <si>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</si>
  <si>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</si>
  <si>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</si>
  <si>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</si>
  <si>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</si>
  <si>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</si>
  <si>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</si>
  <si>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</si>
  <si>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</si>
  <si>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</si>
  <si>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</si>
  <si>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</si>
  <si>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</si>
  <si>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</si>
  <si>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</si>
  <si>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</si>
  <si>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</si>
  <si>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</si>
  <si>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</si>
  <si>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</si>
  <si>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</si>
  <si>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</si>
  <si>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</si>
  <si>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</si>
  <si>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</si>
  <si>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</si>
  <si>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</si>
  <si>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</si>
  <si>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</si>
  <si>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</si>
  <si>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</si>
  <si>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</si>
  <si>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</si>
  <si>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</si>
  <si>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</si>
  <si>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</si>
  <si>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</si>
  <si>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</si>
  <si>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</si>
  <si>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</si>
  <si>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</si>
  <si>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</si>
  <si>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</si>
  <si>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</si>
  <si>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</si>
  <si>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</si>
  <si>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</si>
  <si>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</si>
  <si>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</si>
  <si>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</si>
  <si>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</si>
  <si>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</si>
  <si>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</si>
  <si>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</si>
  <si>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</si>
  <si>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</si>
  <si>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</si>
  <si>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</si>
  <si>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</si>
  <si>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</si>
  <si>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</si>
  <si>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</si>
  <si>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</si>
  <si>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</si>
  <si>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</si>
  <si>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</si>
  <si>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</si>
  <si>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</si>
  <si>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</si>
  <si>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</si>
  <si>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</si>
  <si>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</si>
  <si>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</si>
  <si>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</si>
  <si>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</si>
  <si>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</si>
  <si>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</si>
  <si>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</si>
  <si>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</si>
  <si>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</si>
  <si>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</si>
  <si>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</si>
  <si>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</si>
  <si>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</si>
  <si>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</si>
  <si>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</si>
  <si>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</si>
  <si>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</si>
  <si>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</si>
  <si>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</si>
  <si>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</si>
  <si>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</si>
  <si>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</si>
  <si>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</si>
  <si>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</si>
  <si>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</si>
  <si>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</si>
  <si>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</si>
  <si>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</si>
  <si>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</si>
  <si>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</si>
  <si>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</si>
  <si>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</si>
  <si>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</si>
  <si>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</si>
  <si>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</si>
  <si>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</si>
  <si>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</si>
  <si>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</si>
  <si>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</si>
  <si>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</si>
  <si>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</si>
  <si>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</si>
  <si>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</si>
  <si>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</si>
  <si>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</si>
  <si>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</si>
  <si>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</si>
  <si>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</si>
  <si>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</si>
  <si>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</si>
  <si>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</si>
  <si>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</si>
  <si>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</si>
  <si>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</si>
  <si>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</si>
  <si>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</si>
  <si>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</si>
  <si>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</si>
  <si>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</si>
  <si>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</si>
  <si>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</si>
  <si>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</si>
  <si>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</si>
  <si>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</si>
  <si>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</si>
  <si>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</si>
  <si>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</si>
  <si>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</si>
  <si>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</si>
  <si>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</si>
  <si>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</si>
  <si>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</si>
  <si>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</si>
  <si>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</si>
  <si>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</si>
  <si>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</si>
  <si>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</si>
  <si>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</si>
  <si>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</si>
  <si>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</si>
  <si>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</si>
  <si>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</si>
  <si>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</si>
  <si>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</si>
  <si>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</si>
  <si>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</si>
  <si>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</si>
  <si>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</si>
  <si>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</si>
  <si>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</si>
  <si>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</si>
  <si>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</si>
  <si>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</si>
  <si>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</si>
  <si>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</si>
  <si>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</si>
  <si>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</si>
  <si>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</si>
  <si>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</si>
  <si>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</si>
  <si>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</si>
  <si>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</si>
  <si>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</si>
  <si>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</si>
  <si>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</si>
  <si>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</si>
  <si>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</si>
  <si>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</si>
  <si>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</si>
  <si>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</si>
  <si>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</si>
  <si>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</si>
  <si>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</si>
  <si>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</si>
  <si>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</si>
  <si>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</si>
  <si>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</si>
  <si>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</si>
  <si>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</si>
  <si>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</si>
  <si>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</si>
  <si>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</si>
  <si>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</si>
  <si>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</si>
  <si>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</si>
  <si>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</si>
  <si>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</si>
  <si>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</si>
  <si>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</si>
  <si>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</si>
  <si>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</si>
  <si>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</si>
  <si>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</si>
  <si>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</si>
  <si>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</si>
  <si>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</si>
  <si>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</si>
  <si>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</si>
  <si>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</si>
  <si>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</si>
  <si>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</si>
  <si>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</si>
  <si>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</si>
  <si>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</si>
  <si>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</si>
  <si>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</si>
  <si>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</si>
  <si>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</si>
  <si>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</si>
  <si>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</si>
  <si>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</si>
  <si>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</si>
  <si>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</si>
  <si>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</si>
  <si>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</si>
  <si>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</si>
  <si>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</si>
  <si>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</si>
  <si>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</si>
  <si>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</si>
  <si>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</si>
  <si>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</si>
  <si>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</si>
  <si>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</si>
  <si>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</si>
  <si>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</si>
  <si>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</si>
  <si>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</si>
  <si>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</si>
  <si>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</si>
  <si>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</si>
  <si>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</si>
  <si>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</si>
  <si>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</si>
  <si>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</si>
  <si>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</si>
  <si>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</si>
  <si>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</si>
  <si>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</si>
  <si>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</si>
  <si>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</si>
  <si>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</si>
  <si>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</si>
  <si>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</si>
  <si>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</si>
  <si>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</si>
  <si>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</si>
  <si>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</si>
  <si>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</si>
  <si>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</si>
  <si>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</si>
  <si>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</si>
  <si>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</si>
  <si>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</si>
  <si>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</si>
  <si>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</si>
  <si>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</si>
  <si>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</si>
  <si>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</si>
  <si>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</si>
  <si>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</si>
  <si>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</si>
  <si>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</si>
  <si>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</si>
  <si>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</si>
  <si>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</si>
  <si>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</si>
  <si>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</si>
  <si>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</si>
  <si>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</si>
  <si>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</si>
  <si>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</si>
  <si>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</si>
  <si>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</si>
  <si>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</si>
  <si>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</si>
  <si>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</si>
  <si>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</si>
  <si>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</si>
  <si>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</si>
  <si>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</si>
  <si>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</si>
  <si>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</si>
  <si>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</si>
  <si>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</si>
  <si>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</si>
  <si>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</si>
  <si>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</si>
  <si>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</si>
  <si>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</si>
  <si>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</si>
  <si>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</si>
  <si>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</si>
  <si>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</si>
  <si>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</si>
  <si>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</si>
  <si>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</si>
  <si>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</si>
  <si>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</si>
  <si>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</si>
  <si>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</si>
  <si>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</si>
  <si>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</si>
  <si>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</si>
  <si>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</si>
  <si>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</si>
  <si>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</si>
  <si>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</si>
  <si>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</si>
  <si>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</si>
  <si>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</si>
  <si>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</si>
  <si>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</si>
  <si>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</si>
  <si>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</si>
  <si>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</si>
  <si>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</si>
  <si>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</si>
  <si>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</si>
  <si>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</si>
  <si>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</si>
  <si>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</si>
  <si>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</si>
  <si>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</si>
  <si>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</si>
  <si>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</si>
  <si>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</si>
  <si>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</si>
  <si>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</si>
  <si>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</si>
  <si>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</si>
  <si>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</si>
  <si>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</si>
  <si>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</si>
  <si>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</si>
  <si>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</si>
  <si>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</si>
  <si>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</si>
  <si>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</si>
  <si>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</si>
  <si>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</si>
  <si>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</si>
  <si>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</si>
  <si>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</si>
  <si>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</si>
  <si>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</si>
  <si>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</si>
  <si>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</si>
  <si>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</si>
  <si>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</si>
  <si>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</si>
  <si>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</si>
  <si>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</si>
  <si>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</si>
  <si>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</si>
  <si>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</si>
  <si>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</si>
  <si>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</si>
  <si>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</si>
  <si>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</si>
  <si>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</si>
  <si>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</si>
  <si>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</si>
  <si>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</si>
  <si>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</si>
  <si>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</si>
  <si>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</si>
  <si>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</si>
  <si>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</si>
  <si>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</si>
  <si>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</si>
  <si>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</si>
  <si>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</si>
  <si>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</si>
  <si>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</si>
  <si>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</si>
  <si>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</si>
  <si>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</si>
  <si>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</si>
  <si>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</si>
  <si>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</si>
  <si>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</si>
  <si>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</si>
  <si>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</si>
  <si>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</si>
  <si>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</si>
  <si>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</si>
  <si>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</si>
  <si>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</si>
  <si>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</si>
  <si>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</si>
  <si>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</si>
  <si>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</si>
  <si>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</si>
  <si>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</si>
  <si>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</si>
  <si>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</si>
  <si>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</si>
  <si>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</si>
  <si>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</si>
  <si>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</si>
  <si>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</si>
  <si>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</si>
  <si>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</si>
  <si>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</si>
  <si>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</si>
  <si>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</si>
  <si>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</si>
  <si>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</si>
  <si>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</si>
  <si>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</si>
  <si>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</si>
  <si>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</si>
  <si>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</si>
  <si>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</si>
  <si>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</si>
  <si>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</si>
  <si>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</si>
  <si>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</si>
  <si>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</si>
  <si>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</si>
  <si>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</si>
  <si>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</si>
  <si>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</si>
  <si>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</si>
  <si>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</si>
  <si>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</si>
  <si>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</si>
  <si>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</si>
  <si>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</si>
  <si>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</si>
  <si>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</si>
  <si>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</si>
  <si>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</si>
  <si>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</si>
  <si>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</si>
  <si>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</si>
  <si>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</si>
  <si>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</si>
  <si>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</si>
  <si>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</si>
  <si>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</si>
  <si>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</si>
  <si>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</si>
  <si>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</si>
  <si>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</si>
  <si>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</si>
  <si>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</si>
  <si>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</si>
  <si>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</si>
  <si>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</si>
  <si>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</si>
  <si>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</si>
  <si>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</si>
  <si>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</si>
  <si>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</si>
  <si>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</si>
  <si>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</si>
  <si>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</si>
  <si>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</si>
  <si>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</si>
  <si>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</si>
  <si>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</si>
  <si>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</si>
  <si>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</si>
  <si>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</si>
  <si>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</si>
  <si>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</si>
  <si>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</si>
  <si>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</si>
  <si>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</si>
  <si>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</si>
  <si>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</si>
  <si>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</si>
  <si>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</si>
  <si>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</si>
  <si>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</si>
  <si>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</si>
  <si>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</si>
  <si>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</si>
  <si>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</si>
  <si>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</si>
  <si>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</si>
  <si>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</si>
  <si>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</si>
  <si>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</si>
  <si>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</si>
  <si>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</si>
  <si>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</si>
  <si>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</si>
  <si>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</si>
  <si>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</si>
  <si>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</si>
  <si>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</si>
  <si>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</si>
  <si>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</si>
  <si>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</si>
  <si>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</si>
  <si>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</si>
  <si>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</si>
  <si>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</si>
  <si>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</si>
  <si>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</si>
  <si>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</si>
  <si>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</si>
  <si>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</si>
  <si>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</si>
  <si>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</si>
  <si>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</si>
  <si>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</si>
  <si>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</si>
  <si>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</si>
  <si>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</si>
  <si>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</si>
  <si>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</si>
  <si>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</si>
  <si>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</si>
  <si>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</si>
  <si>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</si>
  <si>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</si>
  <si>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</si>
  <si>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</si>
  <si>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</si>
  <si>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</si>
  <si>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</si>
  <si>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</si>
  <si>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</si>
  <si>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</si>
  <si>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</si>
  <si>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</si>
  <si>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</si>
  <si>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</si>
  <si>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</si>
  <si>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</si>
  <si>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</si>
  <si>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</si>
  <si>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</si>
  <si>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</si>
  <si>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</si>
  <si>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</si>
  <si>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</si>
  <si>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</si>
  <si>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</si>
  <si>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</si>
  <si>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</si>
  <si>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</si>
  <si>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</si>
  <si>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</si>
  <si>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</si>
  <si>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</si>
  <si>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</si>
  <si>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</si>
  <si>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</si>
  <si>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</si>
  <si>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</si>
  <si>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</si>
  <si>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</si>
  <si>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</si>
  <si>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</si>
  <si>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</si>
  <si>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</si>
  <si>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</si>
  <si>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</si>
  <si>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</si>
  <si>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</si>
  <si>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</si>
  <si>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</si>
  <si>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</si>
  <si>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</si>
  <si>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</si>
  <si>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</si>
  <si>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</si>
  <si>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</si>
  <si>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</si>
  <si>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</si>
  <si>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</si>
  <si>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</si>
  <si>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</si>
  <si>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</si>
  <si>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</si>
  <si>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</si>
  <si>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</si>
  <si>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</si>
  <si>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</si>
  <si>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</si>
  <si>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</si>
  <si>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</si>
  <si>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</si>
  <si>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</si>
  <si>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</si>
  <si>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</si>
  <si>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</si>
  <si>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</si>
  <si>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</si>
  <si>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</si>
  <si>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</si>
  <si>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</si>
  <si>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</si>
  <si>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</si>
  <si>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</si>
  <si>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</si>
  <si>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</si>
  <si>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</si>
  <si>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</si>
  <si>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</si>
  <si>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</si>
  <si>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</si>
  <si>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</si>
  <si>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</si>
  <si>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</si>
  <si>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</si>
  <si>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</si>
  <si>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</si>
  <si>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</si>
  <si>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</si>
  <si>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</si>
  <si>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</si>
  <si>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</si>
  <si>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</si>
  <si>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</si>
  <si>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</si>
  <si>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</si>
  <si>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</si>
  <si>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</si>
  <si>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</si>
  <si>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</si>
  <si>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</si>
  <si>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</si>
  <si>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</si>
  <si>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</si>
  <si>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</si>
  <si>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</si>
  <si>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</si>
  <si>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</si>
  <si>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</si>
  <si>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</si>
  <si>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</si>
  <si>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</si>
  <si>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</si>
  <si>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</si>
  <si>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</si>
  <si>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</si>
  <si>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</si>
  <si>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</si>
  <si>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</si>
  <si>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</si>
  <si>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</si>
  <si>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</si>
  <si>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</si>
  <si>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</si>
  <si>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</si>
  <si>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</si>
  <si>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</si>
  <si>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</si>
  <si>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</si>
  <si>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</si>
  <si>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</si>
  <si>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</si>
  <si>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</si>
  <si>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</si>
  <si>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</si>
  <si>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</si>
  <si>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</si>
  <si>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</si>
  <si>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</si>
  <si>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</si>
  <si>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</si>
  <si>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</si>
  <si>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</si>
  <si>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</si>
  <si>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</si>
  <si>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</si>
  <si>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</si>
  <si>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</si>
  <si>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</si>
  <si>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</si>
  <si>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</si>
  <si>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</si>
  <si>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</si>
  <si>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</si>
  <si>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</si>
  <si>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</si>
  <si>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</si>
  <si>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</si>
  <si>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</si>
  <si>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</si>
  <si>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</si>
  <si>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</si>
  <si>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</si>
  <si>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</si>
  <si>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</si>
  <si>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</si>
  <si>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</si>
  <si>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</si>
  <si>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</si>
  <si>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</si>
  <si>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</si>
  <si>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</si>
  <si>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</si>
  <si>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</si>
  <si>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</si>
  <si>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</si>
  <si>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</si>
  <si>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</si>
  <si>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</si>
  <si>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</si>
  <si>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</si>
  <si>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</si>
  <si>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</si>
  <si>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</si>
  <si>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</si>
  <si>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</si>
  <si>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</si>
  <si>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</si>
  <si>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</si>
  <si>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</si>
  <si>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</si>
  <si>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</si>
  <si>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</si>
  <si>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</si>
  <si>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</si>
  <si>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</si>
  <si>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</si>
  <si>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</si>
  <si>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</si>
  <si>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</si>
  <si>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</si>
  <si>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</si>
  <si>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</si>
  <si>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</si>
  <si>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</si>
  <si>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</si>
  <si>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</si>
  <si>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</si>
  <si>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</si>
  <si>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</si>
  <si>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</si>
  <si>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</si>
  <si>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</si>
  <si>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</si>
  <si>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</si>
  <si>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</si>
  <si>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</si>
  <si>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</si>
  <si>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</si>
  <si>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</si>
  <si>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</si>
  <si>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</si>
  <si>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</si>
  <si>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</si>
  <si>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</si>
  <si>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</si>
  <si>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</si>
  <si>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</si>
  <si>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</si>
  <si>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</si>
  <si>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</si>
  <si>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</si>
  <si>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</si>
  <si>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</si>
  <si>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</si>
  <si>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</si>
  <si>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</si>
  <si>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</si>
  <si>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</si>
  <si>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</si>
  <si>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</si>
  <si>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</si>
  <si>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</si>
  <si>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</si>
  <si>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</si>
  <si>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</si>
  <si>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</si>
  <si>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</si>
  <si>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</si>
  <si>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</si>
  <si>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</si>
  <si>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</si>
  <si>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</si>
  <si>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</si>
  <si>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</si>
  <si>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</si>
  <si>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</si>
  <si>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</si>
  <si>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</si>
  <si>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</si>
  <si>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</si>
  <si>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</si>
  <si>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</si>
  <si>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</si>
  <si>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</si>
  <si>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</si>
  <si>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</si>
  <si>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</si>
  <si>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</si>
  <si>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</si>
  <si>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</si>
  <si>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</si>
  <si>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</si>
  <si>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</si>
  <si>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</si>
  <si>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</si>
  <si>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</si>
  <si>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</si>
  <si>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</si>
  <si>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</si>
  <si>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</si>
  <si>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</si>
  <si>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</si>
  <si>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</si>
  <si>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</si>
  <si>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</si>
  <si>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</si>
  <si>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</si>
  <si>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</si>
  <si>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</si>
  <si>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</si>
  <si>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</si>
  <si>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</si>
  <si>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</si>
  <si>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</si>
  <si>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</si>
  <si>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</si>
  <si>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</si>
  <si>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</si>
  <si>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</si>
  <si>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</si>
  <si>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</si>
  <si>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</si>
  <si>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</si>
  <si>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</si>
  <si>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</si>
  <si>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</si>
  <si>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</si>
  <si>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</si>
  <si>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</si>
  <si>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</si>
  <si>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</si>
  <si>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</si>
  <si>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</si>
  <si>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</si>
  <si>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</si>
  <si>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</si>
  <si>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</si>
  <si>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</si>
  <si>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</si>
  <si>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</si>
  <si>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</si>
  <si>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</si>
  <si>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</si>
  <si>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</si>
  <si>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</si>
  <si>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</si>
  <si>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</si>
  <si>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</si>
  <si>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</si>
  <si>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</si>
  <si>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</si>
  <si>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</si>
  <si>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</si>
  <si>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</si>
  <si>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</si>
  <si>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</si>
  <si>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</si>
  <si>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</si>
  <si>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</si>
  <si>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</si>
  <si>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</si>
  <si>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</si>
  <si>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</si>
  <si>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</si>
  <si>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</si>
  <si>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</si>
  <si>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</si>
  <si>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</si>
  <si>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</si>
  <si>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</si>
  <si>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</si>
  <si>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</si>
  <si>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</si>
  <si>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</si>
  <si>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</si>
  <si>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</si>
  <si>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</si>
  <si>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</si>
  <si>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</si>
  <si>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</si>
  <si>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</si>
  <si>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</si>
  <si>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</si>
  <si>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</si>
  <si>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</si>
  <si>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</si>
  <si>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</si>
  <si>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</si>
  <si>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</si>
  <si>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</si>
  <si>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</si>
  <si>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</si>
  <si>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</si>
  <si>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</si>
  <si>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</si>
  <si>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</si>
  <si>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</si>
  <si>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</si>
  <si>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</si>
  <si>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</si>
  <si>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</si>
  <si>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</si>
  <si>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</si>
  <si>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</si>
  <si>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</si>
  <si>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</si>
  <si>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</si>
  <si>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</si>
  <si>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</si>
  <si>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</si>
  <si>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</si>
  <si>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</si>
  <si>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</si>
  <si>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</si>
  <si>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</si>
  <si>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</si>
  <si>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</si>
  <si>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</si>
  <si>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</si>
  <si>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</si>
  <si>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</si>
  <si>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</si>
  <si>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</si>
  <si>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</si>
  <si>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</si>
  <si>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</si>
  <si>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</si>
  <si>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</si>
  <si>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</si>
  <si>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</si>
  <si>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</si>
  <si>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</si>
  <si>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</si>
  <si>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</si>
  <si>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</si>
  <si>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</si>
  <si>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</si>
  <si>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</si>
  <si>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</si>
  <si>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</si>
  <si>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</si>
  <si>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</si>
  <si>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</si>
  <si>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</si>
  <si>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</si>
  <si>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</si>
  <si>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</si>
  <si>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</si>
  <si>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</si>
  <si>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</si>
  <si>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</si>
  <si>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</si>
  <si>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</si>
  <si>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</si>
  <si>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</si>
  <si>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</si>
  <si>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</si>
  <si>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</si>
  <si>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</si>
  <si>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</si>
  <si>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</si>
  <si>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</si>
  <si>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</si>
  <si>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</si>
  <si>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</si>
  <si>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</si>
  <si>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</si>
  <si>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</si>
  <si>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</si>
  <si>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</si>
  <si>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</si>
  <si>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</si>
  <si>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</si>
  <si>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</si>
  <si>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</si>
  <si>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</si>
  <si>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</si>
  <si>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</si>
  <si>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</si>
  <si>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</si>
  <si>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</si>
  <si>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</si>
  <si>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</si>
  <si>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</si>
  <si>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</si>
  <si>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</si>
  <si>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</si>
  <si>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</si>
  <si>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</si>
  <si>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</si>
  <si>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</si>
  <si>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</si>
  <si>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</si>
  <si>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</si>
  <si>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</si>
  <si>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</si>
  <si>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</si>
  <si>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</si>
  <si>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</si>
  <si>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</si>
  <si>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</si>
  <si>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</si>
  <si>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</si>
  <si>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</si>
  <si>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</si>
  <si>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</si>
  <si>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</si>
  <si>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</si>
  <si>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</si>
  <si>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</si>
  <si>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</si>
  <si>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</si>
  <si>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</si>
  <si>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</si>
  <si>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</si>
  <si>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</si>
  <si>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</si>
  <si>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</si>
  <si>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</si>
  <si>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</si>
  <si>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</si>
  <si>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</si>
  <si>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</si>
  <si>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</si>
  <si>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</si>
  <si>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</si>
  <si>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</si>
  <si>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</si>
  <si>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</si>
  <si>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</si>
  <si>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</si>
  <si>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</si>
  <si>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</si>
  <si>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</si>
  <si>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</si>
  <si>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</si>
  <si>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</si>
  <si>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</si>
  <si>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</si>
  <si>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</si>
  <si>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</si>
  <si>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</si>
  <si>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</si>
  <si>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</si>
  <si>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</si>
  <si>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</si>
  <si>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</si>
  <si>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</si>
  <si>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</si>
  <si>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</si>
  <si>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</si>
  <si>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</si>
  <si>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</si>
  <si>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</si>
  <si>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</si>
  <si>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</si>
  <si>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</si>
  <si>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</si>
  <si>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</si>
  <si>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</si>
  <si>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</si>
  <si>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</si>
  <si>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</si>
  <si>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</si>
  <si>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</si>
  <si>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</si>
  <si>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</si>
  <si>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</si>
  <si>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</si>
  <si>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</si>
  <si>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</si>
  <si>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</si>
  <si>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</si>
  <si>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</si>
  <si>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</si>
  <si>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</si>
  <si>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</si>
  <si>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</si>
  <si>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</si>
  <si>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</si>
  <si>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</si>
  <si>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</si>
  <si>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</si>
  <si>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</si>
  <si>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</si>
  <si>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</si>
  <si>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</si>
  <si>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</si>
  <si>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</si>
  <si>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</si>
  <si>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</si>
  <si>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</si>
  <si>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</si>
  <si>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</si>
  <si>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</si>
  <si>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</si>
  <si>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</si>
  <si>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</si>
  <si>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</si>
  <si>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</si>
  <si>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</si>
  <si>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</si>
  <si>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</si>
  <si>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</si>
  <si>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</si>
  <si>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</si>
  <si>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</si>
  <si>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</si>
  <si>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</si>
  <si>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</si>
  <si>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</si>
  <si>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</si>
  <si>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</si>
  <si>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</si>
  <si>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</si>
  <si>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</si>
  <si>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</si>
  <si>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</si>
  <si>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</si>
  <si>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</si>
  <si>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</si>
  <si>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</si>
  <si>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</si>
  <si>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</si>
  <si>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</si>
  <si>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</si>
  <si>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</si>
  <si>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</si>
  <si>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</si>
  <si>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</si>
  <si>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</si>
  <si>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</si>
  <si>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</si>
  <si>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</si>
  <si>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</si>
  <si>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</si>
  <si>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</si>
  <si>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</si>
  <si>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</si>
  <si>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</si>
  <si>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</si>
  <si>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</si>
  <si>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</si>
  <si>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</si>
  <si>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</si>
  <si>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</si>
  <si>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</si>
  <si>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</si>
  <si>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</si>
  <si>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</si>
  <si>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</si>
  <si>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</si>
  <si>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</si>
  <si>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</si>
  <si>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</si>
  <si>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</si>
  <si>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</si>
  <si>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</si>
  <si>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</si>
  <si>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</si>
  <si>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</si>
  <si>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</si>
  <si>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</si>
  <si>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</si>
  <si>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</si>
  <si>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</si>
  <si>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</si>
  <si>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</si>
  <si>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</si>
  <si>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</si>
  <si>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</si>
  <si>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</si>
  <si>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</si>
  <si>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</si>
  <si>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</si>
  <si>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</si>
  <si>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</si>
  <si>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</si>
  <si>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</si>
  <si>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</si>
  <si>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</si>
  <si>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</si>
  <si>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</si>
  <si>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</si>
  <si>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</si>
  <si>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</si>
  <si>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</si>
  <si>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</si>
  <si>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</si>
  <si>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</si>
  <si>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</si>
  <si>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</si>
  <si>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</si>
  <si>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</si>
  <si>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</si>
  <si>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</si>
  <si>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</si>
  <si>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</si>
  <si>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</si>
  <si>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</si>
  <si>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</si>
  <si>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</si>
  <si>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</si>
  <si>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</si>
  <si>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</si>
  <si>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</si>
  <si>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</si>
  <si>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</si>
  <si>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</si>
  <si>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</si>
  <si>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</si>
  <si>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</si>
  <si>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</si>
  <si>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</si>
  <si>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</si>
  <si>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</si>
  <si>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</si>
  <si>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</si>
  <si>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</si>
  <si>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</si>
  <si>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</si>
  <si>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</si>
  <si>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</si>
  <si>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</si>
  <si>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</si>
  <si>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</si>
  <si>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</si>
  <si>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</si>
  <si>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</si>
  <si>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</si>
  <si>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</si>
  <si>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</si>
  <si>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</si>
  <si>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</si>
  <si>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</si>
  <si>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</si>
  <si>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</si>
  <si>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</si>
  <si>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</si>
  <si>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</si>
  <si>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</si>
  <si>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</si>
  <si>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</si>
  <si>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</si>
  <si>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</si>
  <si>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</si>
  <si>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</si>
  <si>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</si>
  <si>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</si>
  <si>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</si>
  <si>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</si>
  <si>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</si>
  <si>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</si>
  <si>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</si>
  <si>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</si>
  <si>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</si>
  <si>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</si>
  <si>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</si>
  <si>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</si>
  <si>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</si>
  <si>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</si>
  <si>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</si>
  <si>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</si>
  <si>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</si>
  <si>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</si>
  <si>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</si>
  <si>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</si>
  <si>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</si>
  <si>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</si>
  <si>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</si>
  <si>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</si>
  <si>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</si>
  <si>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</si>
  <si>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</si>
  <si>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</si>
  <si>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</si>
  <si>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</si>
  <si>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</si>
  <si>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</si>
  <si>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</si>
  <si>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</si>
  <si>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</si>
  <si>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</si>
  <si>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</si>
  <si>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</si>
  <si>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</si>
  <si>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</si>
  <si>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</si>
  <si>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</si>
  <si>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</si>
  <si>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</si>
  <si>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</si>
  <si>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</si>
  <si>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</si>
  <si>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</si>
  <si>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</si>
  <si>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</si>
  <si>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</si>
  <si>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</si>
  <si>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</si>
  <si>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</si>
  <si>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</si>
  <si>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</si>
  <si>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</si>
  <si>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</si>
  <si>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</si>
  <si>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</si>
  <si>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</si>
  <si>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</si>
  <si>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</si>
  <si>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</si>
  <si>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</si>
  <si>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</si>
  <si>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</si>
  <si>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</si>
  <si>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</si>
  <si>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</si>
  <si>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</si>
  <si>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</si>
  <si>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</si>
  <si>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</si>
  <si>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</si>
  <si>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</si>
  <si>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</si>
  <si>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</si>
  <si>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</si>
  <si>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</si>
  <si>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</si>
  <si>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</si>
  <si>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</si>
  <si>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</si>
  <si>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</si>
  <si>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</si>
  <si>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</si>
  <si>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</si>
  <si>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</si>
  <si>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</si>
  <si>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</si>
  <si>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</si>
  <si>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</si>
  <si>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</si>
  <si>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</si>
  <si>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</si>
  <si>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</si>
  <si>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</si>
  <si>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</si>
  <si>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</si>
  <si>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</si>
  <si>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</si>
  <si>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</si>
  <si>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</si>
  <si>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</si>
  <si>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</si>
  <si>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</si>
  <si>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</si>
  <si>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</si>
  <si>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</si>
  <si>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</si>
  <si>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</si>
  <si>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</si>
  <si>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</si>
  <si>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</si>
  <si>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</si>
  <si>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</si>
  <si>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</si>
  <si>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</si>
  <si>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</si>
  <si>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</si>
  <si>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</si>
  <si>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</si>
  <si>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</si>
  <si>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</si>
  <si>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</si>
  <si>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</si>
  <si>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</si>
  <si>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</si>
  <si>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</si>
  <si>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</si>
  <si>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</si>
  <si>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</si>
  <si>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</si>
  <si>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</si>
  <si>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</si>
  <si>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</si>
  <si>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</si>
  <si>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</si>
  <si>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</si>
  <si>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</si>
  <si>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</si>
  <si>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</si>
  <si>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</si>
  <si>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</si>
  <si>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</si>
  <si>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</si>
  <si>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</si>
  <si>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</si>
  <si>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</si>
  <si>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</si>
  <si>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</si>
  <si>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</si>
  <si>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</si>
  <si>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</si>
  <si>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</si>
  <si>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</si>
  <si>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</si>
  <si>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</si>
  <si>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</si>
  <si>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</si>
  <si>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</si>
  <si>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</si>
  <si>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</si>
  <si>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</si>
  <si>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</si>
  <si>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</si>
  <si>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</si>
  <si>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</si>
  <si>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</si>
  <si>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</si>
  <si>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</si>
  <si>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</si>
  <si>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</si>
  <si>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</si>
  <si>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</si>
  <si>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</si>
  <si>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</si>
  <si>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</si>
  <si>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</si>
  <si>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</si>
  <si>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</si>
  <si>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</si>
  <si>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</si>
  <si>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</si>
  <si>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</si>
  <si>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</si>
  <si>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</si>
  <si>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</si>
  <si>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</si>
  <si>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</si>
  <si>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</si>
  <si>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</si>
  <si>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</si>
  <si>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</si>
  <si>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</si>
  <si>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</si>
  <si>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</si>
  <si>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</si>
  <si>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</si>
  <si>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</si>
  <si>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</si>
  <si>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</si>
  <si>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</si>
  <si>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</si>
  <si>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</si>
  <si>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</si>
  <si>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</si>
  <si>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</si>
  <si>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</si>
  <si>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</si>
  <si>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</si>
  <si>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</si>
  <si>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</si>
  <si>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</si>
  <si>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</si>
  <si>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</si>
  <si>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</si>
  <si>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</si>
  <si>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</si>
  <si>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</si>
  <si>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</si>
  <si>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</si>
  <si>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</si>
  <si>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</si>
  <si>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</si>
  <si>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</si>
  <si>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</si>
  <si>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</si>
  <si>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</si>
  <si>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</si>
  <si>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</si>
  <si>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</si>
  <si>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</si>
  <si>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</si>
  <si>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</si>
  <si>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</si>
  <si>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</si>
  <si>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</si>
  <si>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</si>
  <si>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</si>
  <si>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</si>
  <si>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</si>
  <si>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</si>
  <si>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</si>
  <si>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</si>
  <si>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</si>
  <si>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</si>
  <si>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</si>
  <si>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</si>
  <si>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</si>
  <si>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</si>
  <si>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</si>
  <si>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</si>
  <si>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</si>
  <si>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</si>
  <si>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</si>
  <si>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</si>
  <si>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</si>
  <si>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</si>
  <si>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</si>
  <si>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</si>
  <si>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</si>
  <si>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</si>
  <si>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</si>
  <si>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</si>
  <si>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</si>
  <si>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</si>
  <si>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</si>
  <si>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</si>
  <si>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</si>
  <si>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</si>
  <si>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</si>
  <si>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</si>
  <si>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</si>
  <si>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</si>
  <si>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</si>
  <si>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</si>
  <si>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</si>
  <si>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</si>
  <si>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</si>
  <si>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</si>
  <si>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</si>
  <si>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</si>
  <si>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</si>
  <si>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</si>
  <si>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</si>
  <si>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</si>
  <si>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</si>
  <si>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</si>
  <si>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</si>
  <si>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</si>
  <si>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</si>
  <si>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</si>
  <si>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</si>
  <si>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</si>
  <si>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</si>
  <si>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</si>
  <si>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</si>
  <si>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</si>
  <si>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</si>
  <si>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</si>
  <si>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</si>
  <si>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</si>
  <si>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</si>
  <si>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</si>
  <si>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</si>
  <si>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</si>
  <si>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</si>
  <si>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</si>
  <si>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</si>
  <si>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</si>
  <si>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</si>
  <si>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</si>
  <si>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</si>
  <si>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</si>
  <si>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</si>
  <si>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</si>
  <si>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</si>
  <si>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</si>
  <si>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</si>
  <si>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</si>
  <si>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</si>
  <si>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</si>
  <si>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</si>
  <si>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</si>
  <si>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</si>
  <si>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</si>
  <si>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</si>
  <si>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</si>
  <si>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</si>
  <si>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</si>
  <si>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</si>
  <si>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</si>
  <si>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</si>
  <si>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</si>
  <si>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</si>
  <si>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</si>
  <si>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</si>
  <si>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</si>
  <si>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</si>
  <si>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</si>
  <si>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</si>
  <si>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</si>
  <si>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</si>
  <si>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</si>
  <si>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</si>
  <si>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</si>
  <si>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</si>
  <si>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</si>
  <si>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</si>
  <si>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</si>
  <si>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</si>
  <si>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</si>
  <si>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</si>
  <si>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</si>
  <si>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</si>
  <si>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</si>
  <si>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</si>
  <si>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</si>
  <si>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</si>
  <si>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</si>
  <si>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</si>
  <si>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</si>
  <si>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</si>
  <si>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</si>
  <si>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</si>
  <si>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</si>
  <si>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</si>
  <si>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</si>
  <si>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</si>
  <si>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</si>
  <si>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</si>
  <si>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</si>
  <si>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</si>
  <si>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</si>
  <si>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</si>
  <si>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</si>
  <si>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</si>
  <si>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</si>
  <si>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</si>
  <si>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</si>
  <si>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</si>
  <si>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</si>
  <si>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</si>
  <si>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</si>
  <si>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</si>
  <si>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</si>
  <si>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</si>
  <si>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</si>
  <si>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</si>
  <si>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</si>
  <si>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</si>
  <si>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</si>
  <si>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</si>
  <si>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</si>
  <si>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</si>
  <si>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</si>
  <si>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</si>
  <si>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</si>
  <si>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</si>
  <si>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</si>
  <si>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</si>
  <si>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</si>
  <si>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</si>
  <si>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</si>
  <si>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</si>
  <si>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</si>
  <si>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</si>
  <si>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</si>
  <si>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</si>
  <si>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</si>
  <si>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</si>
  <si>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</si>
  <si>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</si>
  <si>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</si>
  <si>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</si>
  <si>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</si>
  <si>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</si>
  <si>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</si>
  <si>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</si>
  <si>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</si>
  <si>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</si>
  <si>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</si>
  <si>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</si>
  <si>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</si>
  <si>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</si>
  <si>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</si>
  <si>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</si>
  <si>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</si>
  <si>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</si>
  <si>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</si>
  <si>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</si>
  <si>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</si>
  <si>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</si>
  <si>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</si>
  <si>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</si>
  <si>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</si>
  <si>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</si>
  <si>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</si>
  <si>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</si>
  <si>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</si>
  <si>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</si>
  <si>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</si>
  <si>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</si>
  <si>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</si>
  <si>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</si>
  <si>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</si>
  <si>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</si>
  <si>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</si>
  <si>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</si>
  <si>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</si>
  <si>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</si>
  <si>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</si>
  <si>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</si>
  <si>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</si>
  <si>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</si>
  <si>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</si>
  <si>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</si>
  <si>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</si>
  <si>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</si>
  <si>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</si>
  <si>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</si>
  <si>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</si>
  <si>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</si>
  <si>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</si>
  <si>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</si>
  <si>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</si>
  <si>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</si>
  <si>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</si>
  <si>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</si>
  <si>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</si>
  <si>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</si>
  <si>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</si>
  <si>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</si>
  <si>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</si>
  <si>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</si>
  <si>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</si>
  <si>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</si>
  <si>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</si>
  <si>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</si>
  <si>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</si>
  <si>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</si>
  <si>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</si>
  <si>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</si>
  <si>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</si>
  <si>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</si>
  <si>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</si>
  <si>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</si>
  <si>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</si>
  <si>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</si>
  <si>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</si>
  <si>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</si>
  <si>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</si>
  <si>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</si>
  <si>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</si>
  <si>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</si>
  <si>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</si>
  <si>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</si>
  <si>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</si>
  <si>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</si>
  <si>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</si>
  <si>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</si>
  <si>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</si>
  <si>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</si>
  <si>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</si>
  <si>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</si>
  <si>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</si>
  <si>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</si>
  <si>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</si>
  <si>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</si>
  <si>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</si>
  <si>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</si>
  <si>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</si>
  <si>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</si>
  <si>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</si>
  <si>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</si>
  <si>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</si>
  <si>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</si>
  <si>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</si>
  <si>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</si>
  <si>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</si>
  <si>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</si>
  <si>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</si>
  <si>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</si>
  <si>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</si>
  <si>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</si>
  <si>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</si>
  <si>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</si>
  <si>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</si>
  <si>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</si>
  <si>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</si>
  <si>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</si>
  <si>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</si>
  <si>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</si>
  <si>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</si>
  <si>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</si>
  <si>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</si>
  <si>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</si>
  <si>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</si>
  <si>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</si>
  <si>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</si>
  <si>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</si>
  <si>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</si>
  <si>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</si>
  <si>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</si>
  <si>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</si>
  <si>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</si>
  <si>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</si>
  <si>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</si>
  <si>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</si>
  <si>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</si>
  <si>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</si>
  <si>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</si>
  <si>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</si>
  <si>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</si>
  <si>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</si>
  <si>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</si>
  <si>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</si>
  <si>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</si>
  <si>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</si>
  <si>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</si>
  <si>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</si>
  <si>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</si>
  <si>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</si>
  <si>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</si>
  <si>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</si>
  <si>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</si>
  <si>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</si>
  <si>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</si>
  <si>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</si>
  <si>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</si>
  <si>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</si>
  <si>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</si>
  <si>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</si>
  <si>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</si>
  <si>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</si>
  <si>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</si>
  <si>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</si>
  <si>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</si>
  <si>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</si>
  <si>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</si>
  <si>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</si>
  <si>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</si>
  <si>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</si>
  <si>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</si>
  <si>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</si>
  <si>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</si>
  <si>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</si>
  <si>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</si>
  <si>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</si>
  <si>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</si>
  <si>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</si>
  <si>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</si>
  <si>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</si>
  <si>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</si>
  <si>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</si>
  <si>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</si>
  <si>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</si>
  <si>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</si>
  <si>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</si>
  <si>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</si>
  <si>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</si>
  <si>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</si>
  <si>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</si>
  <si>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</si>
  <si>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</si>
  <si>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</si>
  <si>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</si>
  <si>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</si>
  <si>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</si>
  <si>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</si>
  <si>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</si>
  <si>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</si>
  <si>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</si>
  <si>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</si>
  <si>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</si>
  <si>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</si>
  <si>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</si>
  <si>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</si>
  <si>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</si>
  <si>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</si>
  <si>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</si>
  <si>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</si>
  <si>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</si>
  <si>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</si>
  <si>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</si>
  <si>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</si>
  <si>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</si>
  <si>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</si>
  <si>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</si>
  <si>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</si>
  <si>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</si>
  <si>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</si>
  <si>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</si>
  <si>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</si>
  <si>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</si>
  <si>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</si>
  <si>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</si>
  <si>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</si>
  <si>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</si>
  <si>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</si>
  <si>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</si>
  <si>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</si>
  <si>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</si>
  <si>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</si>
  <si>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</si>
  <si>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</si>
  <si>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</si>
  <si>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</si>
  <si>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</si>
  <si>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</si>
  <si>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</si>
  <si>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</si>
  <si>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</si>
  <si>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</si>
  <si>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</si>
  <si>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</si>
  <si>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</si>
  <si>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</si>
  <si>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</si>
  <si>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</si>
  <si>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</si>
  <si>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</si>
  <si>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</si>
  <si>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</si>
  <si>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</si>
  <si>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</si>
  <si>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</si>
  <si>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</si>
  <si>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</si>
  <si>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</si>
  <si>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</si>
  <si>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</si>
  <si>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</si>
  <si>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</si>
  <si>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</si>
  <si>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</si>
  <si>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</si>
  <si>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</si>
  <si>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</si>
  <si>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</si>
  <si>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</si>
  <si>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</si>
  <si>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</si>
  <si>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</si>
  <si>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</si>
  <si>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</si>
  <si>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</si>
  <si>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</si>
  <si>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</si>
  <si>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</si>
  <si>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</si>
  <si>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</si>
  <si>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</si>
  <si>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</si>
  <si>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</si>
  <si>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</si>
  <si>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</si>
  <si>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</si>
  <si>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</si>
  <si>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</si>
  <si>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</si>
  <si>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</si>
  <si>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</si>
  <si>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</si>
  <si>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</si>
  <si>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</si>
  <si>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</si>
  <si>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</si>
  <si>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</si>
  <si>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</si>
  <si>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</si>
  <si>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</si>
  <si>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</si>
  <si>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</si>
  <si>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</si>
  <si>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</si>
  <si>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</si>
  <si>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</si>
  <si>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</si>
  <si>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</si>
  <si>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</si>
  <si>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</si>
  <si>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</si>
  <si>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</si>
  <si>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</si>
  <si>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</si>
  <si>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</si>
  <si>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</si>
  <si>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</si>
  <si>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</si>
  <si>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</si>
  <si>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</si>
  <si>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</si>
  <si>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</si>
  <si>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</si>
  <si>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</si>
  <si>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</si>
  <si>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</si>
  <si>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</si>
  <si>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</si>
  <si>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</si>
  <si>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</si>
  <si>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</si>
  <si>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</si>
  <si>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</si>
  <si>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</si>
  <si>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</si>
  <si>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</si>
  <si>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</si>
  <si>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</si>
  <si>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</si>
  <si>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</si>
  <si>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</si>
  <si>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</si>
  <si>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</si>
  <si>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</si>
  <si>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</si>
  <si>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</si>
  <si>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</si>
  <si>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</si>
  <si>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</si>
  <si>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</si>
  <si>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</si>
  <si>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</si>
  <si>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</si>
  <si>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</si>
  <si>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</si>
  <si>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</si>
  <si>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</si>
  <si>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</si>
  <si>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</si>
  <si>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</si>
  <si>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</si>
  <si>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</si>
  <si>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</si>
  <si>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</si>
  <si>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</si>
  <si>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</si>
  <si>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</si>
  <si>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</si>
  <si>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</si>
  <si>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</si>
  <si>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</si>
  <si>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</si>
  <si>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</si>
  <si>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</si>
  <si>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</si>
  <si>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</si>
  <si>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</si>
  <si>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</si>
  <si>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</si>
  <si>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</si>
  <si>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</si>
  <si>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</si>
  <si>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</si>
  <si>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</si>
  <si>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</si>
  <si>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</si>
  <si>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</si>
  <si>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</si>
  <si>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</si>
  <si>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</si>
  <si>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</si>
  <si>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</si>
  <si>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</si>
  <si>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</si>
  <si>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</si>
  <si>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</si>
  <si>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</si>
  <si>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</si>
  <si>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</si>
  <si>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</si>
  <si>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</si>
  <si>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</si>
  <si>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</si>
  <si>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</si>
  <si>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</si>
  <si>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</si>
  <si>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</si>
  <si>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</si>
  <si>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</si>
  <si>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</si>
  <si>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</si>
  <si>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</si>
  <si>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</si>
  <si>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</si>
  <si>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</si>
  <si>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</si>
  <si>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</si>
  <si>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</si>
  <si>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</si>
  <si>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</si>
  <si>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</si>
  <si>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</si>
  <si>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</si>
  <si>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</si>
  <si>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</si>
  <si>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</si>
  <si>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</si>
  <si>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</si>
  <si>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</si>
  <si>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</si>
  <si>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</si>
  <si>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</si>
  <si>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</si>
  <si>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</si>
  <si>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</si>
  <si>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</si>
  <si>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</si>
  <si>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</si>
  <si>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</si>
  <si>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</si>
  <si>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</si>
  <si>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</si>
  <si>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</si>
  <si>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</si>
  <si>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</si>
  <si>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</si>
  <si>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</si>
  <si>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</si>
  <si>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</si>
  <si>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</si>
  <si>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</si>
  <si>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</si>
  <si>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</si>
  <si>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</si>
  <si>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</si>
  <si>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</si>
  <si>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</si>
  <si>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</si>
  <si>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</si>
  <si>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</si>
  <si>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</si>
  <si>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</si>
  <si>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</si>
  <si>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</si>
  <si>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</si>
  <si>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</si>
  <si>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</si>
  <si>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</si>
  <si>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</si>
  <si>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</si>
  <si>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</si>
  <si>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</si>
  <si>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</si>
  <si>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</si>
  <si>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</si>
  <si>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</si>
  <si>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</si>
  <si>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</si>
  <si>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</si>
  <si>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</si>
  <si>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</si>
  <si>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</si>
  <si>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</si>
  <si>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</si>
  <si>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</si>
  <si>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</si>
  <si>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</si>
  <si>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</si>
  <si>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</si>
  <si>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</si>
  <si>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</si>
  <si>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</si>
  <si>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</si>
  <si>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</si>
  <si>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</si>
  <si>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</si>
  <si>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</si>
  <si>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</si>
  <si>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</si>
  <si>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</si>
  <si>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</si>
  <si>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</si>
  <si>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</si>
  <si>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</si>
  <si>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</si>
  <si>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</si>
  <si>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</si>
  <si>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</si>
  <si>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</si>
  <si>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</si>
  <si>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</si>
  <si>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</si>
  <si>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</si>
  <si>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</si>
  <si>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</si>
  <si>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</si>
  <si>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</si>
  <si>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</si>
  <si>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</si>
  <si>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</si>
  <si>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</si>
  <si>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</si>
  <si>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</si>
  <si>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</si>
  <si>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</si>
  <si>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</si>
  <si>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</si>
  <si>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</si>
  <si>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</si>
  <si>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</si>
  <si>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</si>
  <si>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</si>
  <si>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</si>
  <si>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</si>
  <si>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</si>
  <si>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</si>
  <si>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</si>
  <si>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</si>
  <si>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</si>
  <si>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</si>
  <si>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</si>
  <si>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</si>
  <si>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</si>
  <si>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</si>
  <si>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</si>
  <si>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</si>
  <si>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</si>
  <si>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</si>
  <si>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</si>
  <si>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</si>
  <si>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</si>
  <si>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</si>
  <si>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</si>
  <si>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</si>
  <si>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</si>
  <si>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</si>
  <si>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</si>
  <si>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</si>
  <si>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</si>
  <si>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</si>
  <si>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</si>
  <si>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</si>
  <si>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</si>
  <si>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</si>
  <si>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</si>
  <si>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</si>
  <si>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</si>
  <si>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</si>
  <si>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</si>
  <si>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</si>
  <si>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</si>
  <si>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</si>
  <si>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</si>
  <si>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</si>
  <si>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</si>
  <si>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</si>
  <si>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</si>
  <si>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</si>
  <si>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</si>
  <si>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</si>
  <si>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</si>
  <si>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</si>
  <si>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</si>
  <si>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</si>
  <si>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</si>
  <si>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</si>
  <si>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</si>
  <si>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</si>
  <si>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</si>
  <si>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</si>
  <si>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</si>
  <si>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</si>
  <si>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</si>
  <si>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</si>
  <si>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</si>
  <si>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</si>
  <si>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</si>
  <si>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</si>
  <si>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</si>
  <si>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</si>
  <si>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</si>
  <si>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</si>
  <si>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</si>
  <si>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</si>
  <si>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</si>
  <si>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</si>
  <si>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</si>
  <si>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</si>
  <si>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</si>
  <si>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</si>
  <si>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</si>
  <si>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</si>
  <si>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</si>
  <si>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</si>
  <si>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</si>
  <si>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</si>
  <si>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</si>
  <si>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</si>
  <si>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</si>
  <si>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</si>
  <si>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</si>
  <si>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</si>
  <si>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</si>
  <si>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</si>
  <si>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</si>
  <si>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</si>
  <si>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</si>
  <si>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</si>
  <si>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</si>
  <si>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</si>
  <si>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</si>
  <si>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</si>
  <si>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</si>
  <si>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</si>
  <si>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</si>
  <si>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</si>
  <si>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</si>
  <si>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</si>
  <si>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</si>
  <si>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</si>
  <si>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</si>
  <si>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</si>
  <si>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</si>
  <si>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</si>
  <si>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</si>
  <si>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</si>
  <si>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</si>
  <si>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</si>
  <si>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</si>
  <si>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</si>
  <si>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</si>
  <si>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</si>
  <si>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</si>
  <si>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</si>
  <si>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</si>
  <si>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</si>
  <si>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</si>
  <si>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</si>
  <si>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</si>
  <si>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</si>
  <si>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</si>
  <si>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</si>
  <si>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</si>
  <si>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</si>
  <si>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</si>
  <si>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</si>
  <si>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</si>
  <si>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</si>
  <si>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</si>
  <si>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</si>
  <si>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</si>
  <si>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</si>
  <si>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</si>
  <si>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</si>
  <si>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</si>
  <si>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</si>
  <si>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</si>
  <si>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</si>
  <si>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</si>
  <si>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</si>
  <si>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</si>
  <si>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</si>
  <si>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</si>
  <si>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</si>
  <si>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</si>
  <si>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</si>
  <si>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</si>
  <si>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</si>
  <si>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</si>
  <si>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</si>
  <si>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</si>
  <si>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</si>
  <si>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</si>
  <si>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</si>
  <si>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</si>
  <si>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</si>
  <si>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</si>
  <si>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</si>
  <si>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</si>
  <si>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</si>
  <si>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</si>
  <si>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</si>
  <si>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</si>
  <si>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</si>
  <si>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</si>
  <si>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</si>
  <si>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</si>
  <si>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</si>
  <si>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</si>
  <si>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</si>
  <si>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</si>
  <si>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</si>
  <si>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</si>
  <si>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</si>
  <si>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</si>
  <si>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</si>
  <si>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</si>
  <si>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</si>
  <si>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</si>
  <si>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</si>
  <si>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</si>
  <si>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</si>
  <si>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</si>
  <si>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</si>
  <si>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</si>
  <si>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</si>
  <si>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</si>
  <si>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</si>
  <si>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</si>
  <si>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</si>
  <si>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</si>
  <si>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</si>
  <si>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</si>
  <si>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</si>
  <si>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</si>
  <si>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</si>
  <si>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</si>
  <si>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</si>
  <si>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</si>
  <si>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</si>
  <si>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</si>
  <si>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</si>
  <si>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</si>
  <si>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</si>
  <si>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</si>
  <si>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</si>
  <si>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</si>
  <si>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</si>
  <si>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</si>
  <si>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</si>
  <si>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</si>
  <si>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</si>
  <si>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</si>
  <si>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</si>
  <si>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</si>
  <si>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</si>
  <si>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</si>
  <si>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</si>
  <si>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</si>
  <si>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</si>
  <si>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</si>
  <si>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</si>
  <si>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</si>
  <si>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</si>
  <si>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</si>
  <si>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</si>
  <si>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</si>
  <si>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</si>
  <si>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</si>
  <si>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</si>
  <si>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</si>
  <si>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</si>
  <si>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</si>
  <si>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</si>
  <si>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</si>
  <si>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</si>
  <si>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</si>
  <si>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</si>
  <si>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</si>
  <si>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</si>
  <si>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</si>
  <si>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</si>
  <si>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</si>
  <si>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</si>
  <si>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</si>
  <si>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</si>
  <si>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</si>
  <si>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</si>
  <si>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</si>
  <si>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</si>
  <si>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</si>
  <si>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</si>
  <si>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</si>
  <si>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</si>
  <si>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</si>
  <si>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</si>
  <si>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</si>
  <si>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</si>
  <si>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</si>
  <si>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</si>
  <si>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</si>
  <si>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</si>
  <si>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</si>
  <si>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</si>
  <si>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</si>
  <si>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</si>
  <si>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</si>
  <si>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</si>
  <si>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</si>
  <si>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</si>
  <si>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</si>
  <si>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</si>
  <si>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</si>
  <si>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</si>
  <si>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</si>
  <si>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</si>
  <si>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</si>
  <si>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</si>
  <si>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</si>
  <si>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</si>
  <si>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</si>
  <si>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</si>
  <si>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</si>
  <si>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</si>
  <si>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</si>
  <si>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</si>
  <si>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</si>
  <si>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</si>
  <si>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</si>
  <si>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</si>
  <si>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</si>
  <si>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</si>
  <si>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</si>
  <si>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</si>
  <si>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</si>
  <si>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</si>
  <si>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</si>
  <si>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</si>
  <si>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</si>
  <si>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</si>
  <si>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</si>
  <si>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</si>
  <si>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</si>
  <si>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</si>
  <si>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</si>
  <si>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</si>
  <si>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</si>
  <si>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</si>
  <si>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</si>
  <si>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</si>
  <si>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</si>
  <si>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</si>
  <si>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</si>
  <si>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</si>
  <si>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</si>
  <si>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</si>
  <si>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</si>
  <si>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</si>
  <si>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</si>
  <si>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</si>
  <si>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</si>
  <si>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</si>
  <si>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</si>
  <si>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</si>
  <si>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</si>
  <si>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</si>
  <si>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</si>
  <si>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</si>
  <si>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</si>
  <si>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</si>
  <si>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</si>
  <si>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</si>
  <si>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</si>
  <si>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</si>
  <si>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</si>
  <si>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</si>
  <si>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</si>
  <si>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</si>
  <si>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</si>
  <si>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</si>
  <si>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</si>
  <si>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</si>
  <si>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</si>
  <si>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</si>
  <si>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</si>
  <si>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</si>
  <si>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</si>
  <si>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</si>
  <si>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</si>
  <si>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</si>
  <si>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</si>
  <si>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</si>
  <si>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</si>
  <si>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</si>
  <si>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</si>
  <si>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</si>
  <si>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</si>
  <si>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</si>
  <si>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</si>
  <si>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</si>
  <si>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</si>
  <si>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</si>
  <si>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</si>
  <si>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</si>
  <si>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</si>
  <si>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</si>
  <si>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</si>
  <si>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</si>
  <si>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</si>
  <si>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</si>
  <si>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</si>
  <si>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</si>
  <si>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</si>
  <si>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</si>
  <si>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</si>
  <si>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</si>
  <si>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</si>
  <si>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</si>
  <si>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</si>
  <si>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</si>
  <si>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</si>
  <si>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</si>
  <si>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</si>
  <si>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</si>
  <si>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</si>
  <si>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</si>
  <si>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</si>
  <si>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</si>
  <si>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</si>
  <si>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</si>
  <si>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</si>
  <si>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</si>
  <si>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</si>
  <si>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</si>
  <si>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</si>
  <si>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</si>
  <si>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</si>
  <si>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</si>
  <si>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</si>
  <si>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</si>
  <si>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</si>
  <si>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</si>
  <si>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</si>
  <si>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</si>
  <si>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</si>
  <si>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</si>
  <si>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</si>
  <si>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</si>
  <si>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</si>
  <si>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</si>
  <si>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</si>
  <si>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</si>
  <si>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</si>
  <si>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</si>
  <si>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</si>
  <si>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</si>
  <si>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</si>
  <si>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</si>
  <si>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</si>
  <si>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</si>
  <si>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</si>
  <si>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</si>
  <si>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</si>
  <si>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</si>
  <si>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</si>
  <si>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</si>
  <si>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</si>
  <si>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</si>
  <si>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</si>
  <si>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</si>
  <si>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</si>
  <si>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</si>
  <si>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</si>
  <si>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</si>
  <si>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</si>
  <si>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</si>
  <si>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</si>
  <si>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</si>
  <si>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</si>
  <si>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</si>
  <si>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</si>
  <si>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</si>
  <si>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</si>
  <si>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</si>
  <si>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</si>
  <si>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</si>
  <si>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</si>
  <si>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</si>
  <si>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</si>
  <si>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</si>
  <si>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</si>
  <si>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</si>
  <si>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</si>
  <si>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</si>
  <si>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</si>
  <si>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</si>
  <si>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</si>
  <si>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</si>
  <si>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</si>
  <si>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</si>
  <si>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</si>
  <si>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</si>
  <si>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</si>
  <si>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</si>
  <si>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</si>
  <si>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</si>
  <si>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</si>
  <si>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</si>
  <si>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</si>
  <si>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</si>
  <si>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</si>
  <si>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</si>
  <si>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</si>
  <si>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</si>
  <si>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</si>
  <si>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</si>
  <si>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</si>
  <si>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</si>
  <si>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</si>
  <si>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</si>
  <si>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</si>
  <si>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</si>
  <si>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</si>
  <si>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</si>
  <si>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</si>
  <si>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</si>
  <si>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</si>
  <si>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</si>
  <si>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</si>
  <si>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</si>
  <si>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</si>
  <si>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</si>
  <si>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</si>
  <si>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</si>
  <si>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</si>
  <si>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</si>
  <si>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</si>
  <si>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</si>
  <si>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</si>
  <si>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</si>
  <si>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</si>
  <si>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</si>
  <si>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</si>
  <si>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</si>
  <si>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</si>
  <si>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</si>
  <si>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</si>
  <si>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</si>
  <si>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</si>
  <si>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</si>
  <si>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</si>
  <si>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</si>
  <si>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</si>
  <si>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</si>
  <si>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</si>
  <si>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</si>
  <si>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</si>
  <si>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</si>
  <si>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</si>
  <si>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</si>
  <si>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</si>
  <si>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</si>
  <si>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</si>
  <si>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</si>
  <si>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</si>
  <si>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</si>
  <si>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</si>
  <si>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</si>
  <si>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</si>
  <si>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Sales = (Unit Price x Quantity)</t>
  </si>
  <si>
    <t>Coffee Type Name</t>
  </si>
  <si>
    <t>Roast Type Name</t>
  </si>
  <si>
    <t>2019</t>
  </si>
  <si>
    <t>2020</t>
  </si>
  <si>
    <t>Jan</t>
  </si>
  <si>
    <t>Feb</t>
  </si>
  <si>
    <t>Mar</t>
  </si>
  <si>
    <t>Apr</t>
  </si>
  <si>
    <t>May</t>
  </si>
  <si>
    <t>Jun</t>
  </si>
  <si>
    <t>Jul</t>
  </si>
  <si>
    <t>Aug</t>
  </si>
  <si>
    <t>Sep</t>
  </si>
  <si>
    <t>Oct</t>
  </si>
  <si>
    <t>Nov</t>
  </si>
  <si>
    <t>Dec</t>
  </si>
  <si>
    <t>Years (Order Date)</t>
  </si>
  <si>
    <t>Months (Order Date)</t>
  </si>
  <si>
    <t>Arabica</t>
  </si>
  <si>
    <t>Excelsa</t>
  </si>
  <si>
    <t>Liberica</t>
  </si>
  <si>
    <t>Robusta</t>
  </si>
  <si>
    <t>Sales Trend by Coffee Type</t>
  </si>
  <si>
    <t>Sum of Sales</t>
  </si>
  <si>
    <t>2021</t>
  </si>
  <si>
    <t>2022</t>
  </si>
  <si>
    <t>Dark</t>
  </si>
  <si>
    <t>Light</t>
  </si>
  <si>
    <t>Medium</t>
  </si>
  <si>
    <t>Row Labels</t>
  </si>
  <si>
    <t>Grand Total</t>
  </si>
  <si>
    <t>Sum of Quantity</t>
  </si>
  <si>
    <t>KPI Name</t>
  </si>
  <si>
    <t>KPI Value</t>
  </si>
  <si>
    <t>Total Sales</t>
  </si>
  <si>
    <t>Total Quantity</t>
  </si>
  <si>
    <t>No. of Customer</t>
  </si>
  <si>
    <t>AOV</t>
  </si>
  <si>
    <t>Avg. Items per Order</t>
  </si>
  <si>
    <t>Sales per Customer</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</si>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</sst>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409]#,##0.00"/>
    <numFmt numFmtId="168" formatCode="[$$-409]#,##0"/>
  </numFmts>
  <fonts count="5" x14ac:knownFonts="1">
    <font>
      <sz val="11"/>
      <color theme="1"/>
      <name val="Calibri"/>
      <family val="2"/>
      <scheme val="minor"/>
    </font>
    <font>
      <sz val="11"/>
      <color indexed="8"/>
      <name val="Calibri"/>
      <family val="2"/>
    </font>
    <font>
      <sz val="23"/>
      <color theme="1"/>
      <name val="Times New Roman"/>
      <family val="1"/>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 fontId="0" fillId="0" borderId="0" xfId="0" applyNumberFormat="1"/>
    <xf numFmtId="0" fontId="2" fillId="0" borderId="0" xfId="0" applyFont="1" applyAlignment="1">
      <alignment horizontal="center"/>
    </xf>
    <xf numFmtId="0" fontId="0" fillId="0" borderId="0" xfId="0" applyAlignment="1">
      <alignment horizontal="center"/>
    </xf>
    <xf numFmtId="0" fontId="0" fillId="0" borderId="0" xfId="0" applyFont="1"/>
    <xf numFmtId="0" fontId="3" fillId="0" borderId="0" xfId="0" applyFont="1"/>
    <xf numFmtId="0" fontId="0" fillId="0" borderId="0" xfId="0" applyAlignment="1">
      <alignment horizontal="left"/>
    </xf>
    <xf numFmtId="0" fontId="0" fillId="0" borderId="0" xfId="0" applyNumberFormat="1"/>
    <xf numFmtId="2" fontId="0" fillId="0" borderId="0" xfId="0" applyNumberFormat="1"/>
    <xf numFmtId="0" fontId="4" fillId="0" borderId="0" xfId="0" applyFont="1"/>
  </cellXfs>
  <cellStyles count="1">
    <cellStyle name="Normal" xfId="0" builtinId="0"/>
  </cellStyles>
  <dxfs count="25">
    <dxf>
      <font>
        <b/>
        <i val="0"/>
        <sz val="12"/>
        <color rgb="FF2E1B10"/>
        <name val="Calibri"/>
        <family val="2"/>
        <scheme val="minor"/>
      </font>
    </dxf>
    <dxf>
      <fill>
        <patternFill patternType="solid">
          <fgColor theme="0"/>
          <bgColor rgb="FFE3BDA8"/>
        </patternFill>
      </fill>
      <border diagonalUp="0" diagonalDown="0">
        <left/>
        <right/>
        <top/>
        <bottom/>
        <vertical/>
        <horizontal/>
      </border>
    </dxf>
    <dxf>
      <numFmt numFmtId="168" formatCode="[$$-409]#,##0"/>
    </dxf>
    <dxf>
      <numFmt numFmtId="168" formatCode="[$$-409]#,##0"/>
    </dxf>
    <dxf>
      <font>
        <b/>
        <i val="0"/>
        <color theme="0"/>
        <name val="Calibri"/>
        <family val="2"/>
        <scheme val="minor"/>
      </font>
      <fill>
        <patternFill>
          <bgColor rgb="FF2E1B10"/>
        </patternFill>
      </fill>
    </dxf>
    <dxf>
      <font>
        <b/>
        <i val="0"/>
        <name val="Calibri"/>
        <family val="2"/>
        <scheme val="minor"/>
      </font>
      <fill>
        <patternFill>
          <bgColor rgb="FFE3BDA8"/>
        </patternFill>
      </fill>
    </dxf>
    <dxf>
      <numFmt numFmtId="0" formatCode="General"/>
    </dxf>
    <dxf>
      <numFmt numFmtId="167" formatCode="[$$-409]#,##0.00"/>
    </dxf>
    <dxf>
      <numFmt numFmtId="167" formatCode="[$$-409]#,##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409]#,##0"/>
    </dxf>
    <dxf>
      <numFmt numFmtId="1" formatCode="0"/>
    </dxf>
    <dxf>
      <numFmt numFmtId="168" formatCode="[$$-409]#,##0"/>
    </dxf>
    <dxf>
      <numFmt numFmtId="1" formatCode="0"/>
    </dxf>
    <dxf>
      <numFmt numFmtId="2" formatCode="0.00"/>
    </dxf>
    <dxf>
      <font>
        <b/>
        <sz val="11"/>
        <color theme="1"/>
      </font>
    </dxf>
    <dxf>
      <fill>
        <patternFill patternType="solid">
          <fgColor theme="0"/>
          <bgColor rgb="FFF7F3ED"/>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Medium9">
    <tableStyle name="Coffee Slicer" pivot="0" table="0" count="5" xr9:uid="{10C95B81-520B-446F-8957-86C4FFBA1984}">
      <tableStyleElement type="wholeTable" dxfId="5"/>
      <tableStyleElement type="headerRow" dxfId="4"/>
    </tableStyle>
    <tableStyle name="Coffee Timeline" pivot="0" table="0" count="8" xr9:uid="{89303430-5507-41DB-BB63-3F901261D521}">
      <tableStyleElement type="wholeTable" dxfId="24"/>
      <tableStyleElement type="headerRow" dxfId="23"/>
    </tableStyle>
    <tableStyle name="Coffee Timeline 2" pivot="0" table="0" count="9" xr9:uid="{DB660878-36BB-4975-B716-629EDE9B1739}">
      <tableStyleElement type="wholeTable" dxfId="1"/>
      <tableStyleElement type="headerRow" dxfId="0"/>
    </tableStyle>
  </tableStyles>
  <colors>
    <mruColors>
      <color rgb="FFC9A24A"/>
      <color rgb="FFE4D5BC"/>
      <color rgb="FFA67C00"/>
      <color rgb="FFEBD9CB"/>
      <color rgb="FFE3BDA8"/>
      <color rgb="FFF2E6D0"/>
      <color rgb="FFD8C1A3"/>
      <color rgb="FFA88668"/>
      <color rgb="FF6B432D"/>
      <color rgb="FFDAB49D"/>
    </mruColors>
  </colors>
  <extLst>
    <ext xmlns:x14="http://schemas.microsoft.com/office/spreadsheetml/2009/9/main" uri="{46F421CA-312F-682f-3DD2-61675219B42D}">
      <x14:dxfs count="3">
        <dxf>
          <font>
            <color rgb="FF4A3A30"/>
          </font>
        </dxf>
        <dxf>
          <font>
            <b/>
            <i val="0"/>
            <color theme="0"/>
            <name val="Calibri"/>
            <family val="2"/>
            <scheme val="minor"/>
          </font>
          <fill>
            <patternFill>
              <bgColor rgb="FF8A6A52"/>
            </patternFill>
          </fill>
        </dxf>
        <dxf>
          <font>
            <b/>
            <i val="0"/>
            <color rgb="FF4A3A30"/>
            <name val="Calibri"/>
            <family val="2"/>
            <scheme val="minor"/>
          </font>
          <fill>
            <patternFill>
              <bgColor rgb="FFE4D5BC"/>
            </patternFill>
          </fill>
        </dxf>
      </x14:dxfs>
    </ext>
    <ext xmlns:x14="http://schemas.microsoft.com/office/spreadsheetml/2009/9/main" uri="{EB79DEF2-80B8-43e5-95BD-54CBDDF9020C}">
      <x14:slicerStyles defaultSlicerStyle="SlicerStyleLight1">
        <x14:slicerStyle name="Coffee Slicer">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13">
        <dxf>
          <fill>
            <patternFill>
              <bgColor rgb="FF8A6A52"/>
            </patternFill>
          </fill>
        </dxf>
        <dxf>
          <fill>
            <patternFill patternType="solid">
              <fgColor theme="0" tint="-0.1498764000366222"/>
              <bgColor rgb="FFE4D5BC"/>
            </patternFill>
          </fill>
        </dxf>
        <dxf>
          <fill>
            <patternFill patternType="solid">
              <fgColor theme="0"/>
              <bgColor rgb="FF8A6A52"/>
            </patternFill>
          </fill>
        </dxf>
        <dxf>
          <font>
            <b/>
            <i val="0"/>
            <sz val="9"/>
            <color rgb="FF2E1B10"/>
            <name val="Calibri"/>
            <family val="2"/>
            <scheme val="minor"/>
          </font>
        </dxf>
        <dxf>
          <font>
            <sz val="9"/>
            <color rgb="FF4A3A30"/>
            <name val="Calibri"/>
            <family val="2"/>
            <scheme val="minor"/>
          </font>
        </dxf>
        <dxf>
          <font>
            <b/>
            <i val="0"/>
            <sz val="9"/>
            <color rgb="FF4A3A30"/>
            <name val="Calibri"/>
            <family val="2"/>
            <scheme val="minor"/>
          </font>
        </dxf>
        <dxf>
          <font>
            <b/>
            <i val="0"/>
            <sz val="10"/>
            <color rgb="FF4A3A3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Coffee Timelin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Coffee Timelin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2"/>
  </c:pivotSource>
  <c:chart>
    <c:title>
      <c:tx>
        <c:rich>
          <a:bodyPr rot="0" spcFirstLastPara="1" vertOverflow="ellipsis" vert="horz" wrap="square" anchor="ctr" anchorCtr="1"/>
          <a:lstStyle/>
          <a:p>
            <a:pPr>
              <a:defRPr sz="1600" b="0" i="0" u="none" strike="noStrike" kern="1200" spc="0" baseline="0">
                <a:solidFill>
                  <a:srgbClr val="2E1B10"/>
                </a:solidFill>
                <a:latin typeface="+mn-lt"/>
                <a:ea typeface="+mn-ea"/>
                <a:cs typeface="+mn-cs"/>
              </a:defRPr>
            </a:pPr>
            <a:r>
              <a:rPr lang="en-IN" sz="1600" b="1" i="0">
                <a:solidFill>
                  <a:srgbClr val="2E1B10"/>
                </a:solidFill>
                <a:effectLst/>
                <a:latin typeface="Times New Roman" panose="02020603050405020304" pitchFamily="18" charset="0"/>
                <a:cs typeface="Times New Roman" panose="02020603050405020304" pitchFamily="18" charset="0"/>
              </a:rPr>
              <a:t>Sales Trend by Coffee Type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2E1B10"/>
              </a:solidFill>
              <a:latin typeface="+mn-lt"/>
              <a:ea typeface="+mn-ea"/>
              <a:cs typeface="+mn-cs"/>
            </a:defRPr>
          </a:pPr>
          <a:endParaRPr lang="en-US"/>
        </a:p>
      </c:txPr>
    </c:title>
    <c:autoTitleDeleted val="0"/>
    <c:pivotFmts>
      <c:pivotFmt>
        <c:idx val="0"/>
        <c:spPr>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5400" cap="rnd">
              <a:solidFill>
                <a:srgbClr val="6F8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9-9046-4338-BF2B-A1C5211C7C4E}"/>
            </c:ext>
          </c:extLst>
        </c:ser>
        <c:ser>
          <c:idx val="1"/>
          <c:order val="1"/>
          <c:tx>
            <c:strRef>
              <c:f>'Total Sales'!$D$3:$D$4</c:f>
              <c:strCache>
                <c:ptCount val="1"/>
                <c:pt idx="0">
                  <c:v>Excelsa</c:v>
                </c:pt>
              </c:strCache>
            </c:strRef>
          </c:tx>
          <c:spPr>
            <a:ln w="25400"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AA08-4568-AA22-76AC36471027}"/>
            </c:ext>
          </c:extLst>
        </c:ser>
        <c:ser>
          <c:idx val="2"/>
          <c:order val="2"/>
          <c:tx>
            <c:strRef>
              <c:f>'Total Sales'!$E$3:$E$4</c:f>
              <c:strCache>
                <c:ptCount val="1"/>
                <c:pt idx="0">
                  <c:v>Liberica</c:v>
                </c:pt>
              </c:strCache>
            </c:strRef>
          </c:tx>
          <c:spPr>
            <a:ln w="25400" cap="rnd">
              <a:solidFill>
                <a:srgbClr val="B28A6E"/>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AA08-4568-AA22-76AC36471027}"/>
            </c:ext>
          </c:extLst>
        </c:ser>
        <c:ser>
          <c:idx val="3"/>
          <c:order val="3"/>
          <c:tx>
            <c:strRef>
              <c:f>'Total Sales'!$F$3:$F$4</c:f>
              <c:strCache>
                <c:ptCount val="1"/>
                <c:pt idx="0">
                  <c:v>Robusta</c:v>
                </c:pt>
              </c:strCache>
            </c:strRef>
          </c:tx>
          <c:spPr>
            <a:ln w="25400"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AA08-4568-AA22-76AC36471027}"/>
            </c:ext>
          </c:extLst>
        </c:ser>
        <c:dLbls>
          <c:showLegendKey val="0"/>
          <c:showVal val="0"/>
          <c:showCatName val="0"/>
          <c:showSerName val="0"/>
          <c:showPercent val="0"/>
          <c:showBubbleSize val="0"/>
        </c:dLbls>
        <c:smooth val="0"/>
        <c:axId val="358694239"/>
        <c:axId val="303290831"/>
      </c:lineChart>
      <c:catAx>
        <c:axId val="35869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0">
                    <a:latin typeface="Times New Roman" panose="02020603050405020304" pitchFamily="18" charset="0"/>
                    <a:cs typeface="Times New Roman" panose="02020603050405020304" pitchFamily="18" charset="0"/>
                  </a:rPr>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A30"/>
                </a:solidFill>
                <a:latin typeface="Times New Roman" panose="02020603050405020304" pitchFamily="18" charset="0"/>
                <a:ea typeface="+mn-ea"/>
                <a:cs typeface="Times New Roman" panose="02020603050405020304" pitchFamily="18" charset="0"/>
              </a:defRPr>
            </a:pPr>
            <a:endParaRPr lang="en-US"/>
          </a:p>
        </c:txPr>
        <c:crossAx val="303290831"/>
        <c:crosses val="autoZero"/>
        <c:auto val="1"/>
        <c:lblAlgn val="ctr"/>
        <c:lblOffset val="100"/>
        <c:tickLblSkip val="3"/>
        <c:noMultiLvlLbl val="0"/>
      </c:catAx>
      <c:valAx>
        <c:axId val="303290831"/>
        <c:scaling>
          <c:orientation val="minMax"/>
        </c:scaling>
        <c:delete val="0"/>
        <c:axPos val="l"/>
        <c:majorGridlines>
          <c:spPr>
            <a:ln w="6350" cap="flat" cmpd="sng" algn="ctr">
              <a:solidFill>
                <a:srgbClr val="D8C8B0"/>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latin typeface="Times New Roman" panose="02020603050405020304" pitchFamily="18" charset="0"/>
                    <a:cs typeface="Times New Roman" panose="02020603050405020304" pitchFamily="18" charset="0"/>
                  </a:rPr>
                  <a:t>USD</a:t>
                </a:r>
              </a:p>
            </c:rich>
          </c:tx>
          <c:overlay val="0"/>
          <c:spPr>
            <a:noFill/>
            <a:ln w="9525">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35869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A3A3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6D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Quantity!PivotTable1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rgbClr val="2E1B10"/>
                </a:solidFill>
                <a:effectLst/>
                <a:latin typeface="Times New Roman" panose="02020603050405020304" pitchFamily="18" charset="0"/>
                <a:cs typeface="Times New Roman" panose="02020603050405020304" pitchFamily="18" charset="0"/>
              </a:rPr>
              <a:t>Quantity Ordered by Coffee Roast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855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432D"/>
          </a:solidFill>
          <a:ln>
            <a:noFill/>
          </a:ln>
          <a:effectLst/>
        </c:spPr>
      </c:pivotFmt>
      <c:pivotFmt>
        <c:idx val="2"/>
        <c:spPr>
          <a:solidFill>
            <a:srgbClr val="A88668"/>
          </a:solidFill>
          <a:ln>
            <a:noFill/>
          </a:ln>
          <a:effectLst/>
        </c:spPr>
      </c:pivotFmt>
      <c:pivotFmt>
        <c:idx val="3"/>
        <c:spPr>
          <a:solidFill>
            <a:srgbClr val="D8C1A3"/>
          </a:solidFill>
          <a:ln>
            <a:noFill/>
          </a:ln>
          <a:effectLst/>
        </c:spPr>
      </c:pivotFmt>
    </c:pivotFmts>
    <c:plotArea>
      <c:layout/>
      <c:barChart>
        <c:barDir val="bar"/>
        <c:grouping val="clustered"/>
        <c:varyColors val="0"/>
        <c:ser>
          <c:idx val="0"/>
          <c:order val="0"/>
          <c:tx>
            <c:strRef>
              <c:f>'Total Quantity'!$B$3</c:f>
              <c:strCache>
                <c:ptCount val="1"/>
                <c:pt idx="0">
                  <c:v>Total</c:v>
                </c:pt>
              </c:strCache>
            </c:strRef>
          </c:tx>
          <c:spPr>
            <a:solidFill>
              <a:srgbClr val="885536"/>
            </a:solidFill>
            <a:ln>
              <a:noFill/>
            </a:ln>
            <a:effectLst/>
          </c:spPr>
          <c:invertIfNegative val="0"/>
          <c:dPt>
            <c:idx val="0"/>
            <c:invertIfNegative val="0"/>
            <c:bubble3D val="0"/>
            <c:spPr>
              <a:solidFill>
                <a:srgbClr val="D8C1A3"/>
              </a:solidFill>
              <a:ln>
                <a:noFill/>
              </a:ln>
              <a:effectLst/>
            </c:spPr>
            <c:extLst>
              <c:ext xmlns:c16="http://schemas.microsoft.com/office/drawing/2014/chart" uri="{C3380CC4-5D6E-409C-BE32-E72D297353CC}">
                <c16:uniqueId val="{00000004-3A2E-45B3-A497-18A5268B642B}"/>
              </c:ext>
            </c:extLst>
          </c:dPt>
          <c:dPt>
            <c:idx val="1"/>
            <c:invertIfNegative val="0"/>
            <c:bubble3D val="0"/>
            <c:spPr>
              <a:solidFill>
                <a:srgbClr val="A88668"/>
              </a:solidFill>
              <a:ln>
                <a:noFill/>
              </a:ln>
              <a:effectLst/>
            </c:spPr>
            <c:extLst>
              <c:ext xmlns:c16="http://schemas.microsoft.com/office/drawing/2014/chart" uri="{C3380CC4-5D6E-409C-BE32-E72D297353CC}">
                <c16:uniqueId val="{00000003-3A2E-45B3-A497-18A5268B642B}"/>
              </c:ext>
            </c:extLst>
          </c:dPt>
          <c:dPt>
            <c:idx val="2"/>
            <c:invertIfNegative val="0"/>
            <c:bubble3D val="0"/>
            <c:spPr>
              <a:solidFill>
                <a:srgbClr val="6B432D"/>
              </a:solidFill>
              <a:ln>
                <a:noFill/>
              </a:ln>
              <a:effectLst/>
            </c:spPr>
            <c:extLst>
              <c:ext xmlns:c16="http://schemas.microsoft.com/office/drawing/2014/chart" uri="{C3380CC4-5D6E-409C-BE32-E72D297353CC}">
                <c16:uniqueId val="{00000002-3A2E-45B3-A497-18A5268B64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Quantity'!$A$4:$A$7</c:f>
              <c:strCache>
                <c:ptCount val="3"/>
                <c:pt idx="0">
                  <c:v>Dark</c:v>
                </c:pt>
                <c:pt idx="1">
                  <c:v>Medium</c:v>
                </c:pt>
                <c:pt idx="2">
                  <c:v>Light</c:v>
                </c:pt>
              </c:strCache>
            </c:strRef>
          </c:cat>
          <c:val>
            <c:numRef>
              <c:f>'Total Quantity'!$B$4:$B$7</c:f>
              <c:numCache>
                <c:formatCode>General</c:formatCode>
                <c:ptCount val="3"/>
                <c:pt idx="0">
                  <c:v>1156</c:v>
                </c:pt>
                <c:pt idx="1">
                  <c:v>1165</c:v>
                </c:pt>
                <c:pt idx="2">
                  <c:v>1230</c:v>
                </c:pt>
              </c:numCache>
            </c:numRef>
          </c:val>
          <c:extLst>
            <c:ext xmlns:c16="http://schemas.microsoft.com/office/drawing/2014/chart" uri="{C3380CC4-5D6E-409C-BE32-E72D297353CC}">
              <c16:uniqueId val="{00000000-3A2E-45B3-A497-18A5268B642B}"/>
            </c:ext>
          </c:extLst>
        </c:ser>
        <c:dLbls>
          <c:dLblPos val="outEnd"/>
          <c:showLegendKey val="0"/>
          <c:showVal val="1"/>
          <c:showCatName val="0"/>
          <c:showSerName val="0"/>
          <c:showPercent val="0"/>
          <c:showBubbleSize val="0"/>
        </c:dLbls>
        <c:gapWidth val="219"/>
        <c:axId val="446993823"/>
        <c:axId val="440789359"/>
      </c:barChart>
      <c:catAx>
        <c:axId val="44699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89359"/>
        <c:crosses val="autoZero"/>
        <c:auto val="1"/>
        <c:lblAlgn val="ctr"/>
        <c:lblOffset val="100"/>
        <c:noMultiLvlLbl val="0"/>
      </c:catAx>
      <c:valAx>
        <c:axId val="440789359"/>
        <c:scaling>
          <c:orientation val="minMax"/>
        </c:scaling>
        <c:delete val="1"/>
        <c:axPos val="b"/>
        <c:numFmt formatCode="General" sourceLinked="1"/>
        <c:majorTickMark val="none"/>
        <c:minorTickMark val="none"/>
        <c:tickLblPos val="nextTo"/>
        <c:crossAx val="44699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6D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15"/>
  </c:pivotSource>
  <c:chart>
    <c:title>
      <c:tx>
        <c:rich>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r>
              <a:rPr lang="en-US" b="1">
                <a:solidFill>
                  <a:srgbClr val="2E1B10"/>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endParaRPr lang="en-US"/>
        </a:p>
      </c:txPr>
    </c:title>
    <c:autoTitleDeleted val="0"/>
    <c:pivotFmts>
      <c:pivotFmt>
        <c:idx val="0"/>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432D"/>
          </a:solidFill>
          <a:ln>
            <a:noFill/>
          </a:ln>
          <a:effectLst/>
        </c:spPr>
      </c:pivotFmt>
      <c:pivotFmt>
        <c:idx val="2"/>
        <c:spPr>
          <a:solidFill>
            <a:srgbClr val="A88668"/>
          </a:solidFill>
          <a:ln>
            <a:noFill/>
          </a:ln>
          <a:effectLst/>
        </c:spPr>
      </c:pivotFmt>
      <c:pivotFmt>
        <c:idx val="3"/>
        <c:spPr>
          <a:solidFill>
            <a:srgbClr val="D8C1A3"/>
          </a:solidFill>
          <a:ln>
            <a:no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8A6A52"/>
            </a:solidFill>
            <a:ln>
              <a:noFill/>
            </a:ln>
            <a:effectLst/>
          </c:spPr>
          <c:invertIfNegative val="0"/>
          <c:dPt>
            <c:idx val="0"/>
            <c:invertIfNegative val="0"/>
            <c:bubble3D val="0"/>
            <c:spPr>
              <a:solidFill>
                <a:srgbClr val="D8C1A3"/>
              </a:solidFill>
              <a:ln>
                <a:noFill/>
              </a:ln>
              <a:effectLst/>
            </c:spPr>
            <c:extLst>
              <c:ext xmlns:c16="http://schemas.microsoft.com/office/drawing/2014/chart" uri="{C3380CC4-5D6E-409C-BE32-E72D297353CC}">
                <c16:uniqueId val="{00000004-380D-456A-9C20-6B747EB722FB}"/>
              </c:ext>
            </c:extLst>
          </c:dPt>
          <c:dPt>
            <c:idx val="1"/>
            <c:invertIfNegative val="0"/>
            <c:bubble3D val="0"/>
            <c:spPr>
              <a:solidFill>
                <a:srgbClr val="A88668"/>
              </a:solidFill>
              <a:ln>
                <a:noFill/>
              </a:ln>
              <a:effectLst/>
            </c:spPr>
            <c:extLst>
              <c:ext xmlns:c16="http://schemas.microsoft.com/office/drawing/2014/chart" uri="{C3380CC4-5D6E-409C-BE32-E72D297353CC}">
                <c16:uniqueId val="{00000003-380D-456A-9C20-6B747EB722FB}"/>
              </c:ext>
            </c:extLst>
          </c:dPt>
          <c:dPt>
            <c:idx val="2"/>
            <c:invertIfNegative val="0"/>
            <c:bubble3D val="0"/>
            <c:spPr>
              <a:solidFill>
                <a:srgbClr val="6B432D"/>
              </a:solidFill>
              <a:ln>
                <a:noFill/>
              </a:ln>
              <a:effectLst/>
            </c:spPr>
            <c:extLst>
              <c:ext xmlns:c16="http://schemas.microsoft.com/office/drawing/2014/chart" uri="{C3380CC4-5D6E-409C-BE32-E72D297353CC}">
                <c16:uniqueId val="{00000002-380D-456A-9C20-6B747EB722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80D-456A-9C20-6B747EB722FB}"/>
            </c:ext>
          </c:extLst>
        </c:ser>
        <c:dLbls>
          <c:dLblPos val="outEnd"/>
          <c:showLegendKey val="0"/>
          <c:showVal val="1"/>
          <c:showCatName val="0"/>
          <c:showSerName val="0"/>
          <c:showPercent val="0"/>
          <c:showBubbleSize val="0"/>
        </c:dLbls>
        <c:gapWidth val="50"/>
        <c:axId val="68916975"/>
        <c:axId val="49609551"/>
      </c:barChart>
      <c:catAx>
        <c:axId val="6891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49609551"/>
        <c:crosses val="autoZero"/>
        <c:auto val="1"/>
        <c:lblAlgn val="ctr"/>
        <c:lblOffset val="100"/>
        <c:noMultiLvlLbl val="0"/>
      </c:catAx>
      <c:valAx>
        <c:axId val="49609551"/>
        <c:scaling>
          <c:orientation val="minMax"/>
        </c:scaling>
        <c:delete val="0"/>
        <c:axPos val="b"/>
        <c:majorGridlines>
          <c:spPr>
            <a:ln w="6350" cap="flat" cmpd="sng" algn="ctr">
              <a:solidFill>
                <a:srgbClr val="D8C8B0"/>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6891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6D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8"/>
  </c:pivotSource>
  <c:chart>
    <c:title>
      <c:tx>
        <c:rich>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r>
              <a:rPr lang="en-US" b="1">
                <a:solidFill>
                  <a:srgbClr val="2E1B10"/>
                </a:solidFill>
              </a:rPr>
              <a:t>Top 5</a:t>
            </a:r>
            <a:r>
              <a:rPr lang="en-US" b="1" baseline="0">
                <a:solidFill>
                  <a:srgbClr val="2E1B10"/>
                </a:solidFill>
              </a:rPr>
              <a:t> Customers</a:t>
            </a:r>
            <a:endParaRPr lang="en-US" b="1">
              <a:solidFill>
                <a:srgbClr val="2E1B1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endParaRPr lang="en-US"/>
        </a:p>
      </c:txPr>
    </c:title>
    <c:autoTitleDeleted val="0"/>
    <c:pivotFmts>
      <c:pivotFmt>
        <c:idx val="0"/>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432D"/>
          </a:solidFill>
          <a:ln>
            <a:noFill/>
          </a:ln>
          <a:effectLst/>
        </c:spPr>
      </c:pivotFmt>
      <c:pivotFmt>
        <c:idx val="2"/>
        <c:spPr>
          <a:solidFill>
            <a:srgbClr val="A88668"/>
          </a:solidFill>
          <a:ln>
            <a:noFill/>
          </a:ln>
          <a:effectLst/>
        </c:spPr>
      </c:pivotFmt>
      <c:pivotFmt>
        <c:idx val="3"/>
        <c:spPr>
          <a:solidFill>
            <a:srgbClr val="D8C1A3"/>
          </a:solidFill>
          <a:ln>
            <a:noFill/>
          </a:ln>
          <a:effectLst/>
        </c:spPr>
      </c:pivotFmt>
      <c:pivotFmt>
        <c:idx val="4"/>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8C1A3"/>
          </a:solidFill>
          <a:ln>
            <a:noFill/>
          </a:ln>
          <a:effectLst/>
        </c:spPr>
      </c:pivotFmt>
      <c:pivotFmt>
        <c:idx val="6"/>
        <c:spPr>
          <a:solidFill>
            <a:srgbClr val="A88668"/>
          </a:solidFill>
          <a:ln>
            <a:noFill/>
          </a:ln>
          <a:effectLst/>
        </c:spPr>
      </c:pivotFmt>
      <c:pivotFmt>
        <c:idx val="7"/>
        <c:spPr>
          <a:solidFill>
            <a:srgbClr val="6B432D"/>
          </a:solidFill>
          <a:ln>
            <a:noFill/>
          </a:ln>
          <a:effectLst/>
        </c:spPr>
      </c:pivotFmt>
      <c:pivotFmt>
        <c:idx val="8"/>
        <c:spPr>
          <a:solidFill>
            <a:srgbClr val="8A6A52"/>
          </a:solidFill>
          <a:ln>
            <a:noFill/>
          </a:ln>
          <a:effectLst/>
        </c:spPr>
      </c:pivotFmt>
      <c:pivotFmt>
        <c:idx val="9"/>
        <c:spPr>
          <a:solidFill>
            <a:srgbClr val="A88668"/>
          </a:solidFill>
          <a:ln>
            <a:noFill/>
          </a:ln>
          <a:effectLst/>
        </c:spPr>
      </c:pivotFmt>
      <c:pivotFmt>
        <c:idx val="10"/>
        <c:spPr>
          <a:solidFill>
            <a:srgbClr val="C3A889"/>
          </a:solidFill>
          <a:ln>
            <a:noFill/>
          </a:ln>
          <a:effectLst/>
        </c:spPr>
      </c:pivotFmt>
      <c:pivotFmt>
        <c:idx val="11"/>
        <c:spPr>
          <a:solidFill>
            <a:srgbClr val="D8C1A3"/>
          </a:solidFill>
          <a:ln>
            <a:noFill/>
          </a:ln>
          <a:effectLst/>
        </c:spPr>
      </c:pivotFmt>
      <c:pivotFmt>
        <c:idx val="12"/>
        <c:spPr>
          <a:solidFill>
            <a:srgbClr val="6B432D"/>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6B432D"/>
            </a:solidFill>
            <a:ln>
              <a:noFill/>
            </a:ln>
            <a:effectLst/>
          </c:spPr>
          <c:invertIfNegative val="0"/>
          <c:dPt>
            <c:idx val="0"/>
            <c:invertIfNegative val="0"/>
            <c:bubble3D val="0"/>
            <c:spPr>
              <a:solidFill>
                <a:srgbClr val="D8C1A3"/>
              </a:solidFill>
              <a:ln>
                <a:noFill/>
              </a:ln>
              <a:effectLst/>
            </c:spPr>
            <c:extLst>
              <c:ext xmlns:c16="http://schemas.microsoft.com/office/drawing/2014/chart" uri="{C3380CC4-5D6E-409C-BE32-E72D297353CC}">
                <c16:uniqueId val="{00000001-5ED7-4D2E-9932-1899AF610B1D}"/>
              </c:ext>
            </c:extLst>
          </c:dPt>
          <c:dPt>
            <c:idx val="1"/>
            <c:invertIfNegative val="0"/>
            <c:bubble3D val="0"/>
            <c:spPr>
              <a:solidFill>
                <a:srgbClr val="C3A889"/>
              </a:solidFill>
              <a:ln>
                <a:noFill/>
              </a:ln>
              <a:effectLst/>
            </c:spPr>
            <c:extLst>
              <c:ext xmlns:c16="http://schemas.microsoft.com/office/drawing/2014/chart" uri="{C3380CC4-5D6E-409C-BE32-E72D297353CC}">
                <c16:uniqueId val="{00000003-5ED7-4D2E-9932-1899AF610B1D}"/>
              </c:ext>
            </c:extLst>
          </c:dPt>
          <c:dPt>
            <c:idx val="2"/>
            <c:invertIfNegative val="0"/>
            <c:bubble3D val="0"/>
            <c:spPr>
              <a:solidFill>
                <a:srgbClr val="A88668"/>
              </a:solidFill>
              <a:ln>
                <a:noFill/>
              </a:ln>
              <a:effectLst/>
            </c:spPr>
            <c:extLst>
              <c:ext xmlns:c16="http://schemas.microsoft.com/office/drawing/2014/chart" uri="{C3380CC4-5D6E-409C-BE32-E72D297353CC}">
                <c16:uniqueId val="{00000005-5ED7-4D2E-9932-1899AF610B1D}"/>
              </c:ext>
            </c:extLst>
          </c:dPt>
          <c:dPt>
            <c:idx val="3"/>
            <c:invertIfNegative val="0"/>
            <c:bubble3D val="0"/>
            <c:spPr>
              <a:solidFill>
                <a:srgbClr val="8A6A52"/>
              </a:solidFill>
              <a:ln>
                <a:noFill/>
              </a:ln>
              <a:effectLst/>
            </c:spPr>
            <c:extLst>
              <c:ext xmlns:c16="http://schemas.microsoft.com/office/drawing/2014/chart" uri="{C3380CC4-5D6E-409C-BE32-E72D297353CC}">
                <c16:uniqueId val="{00000007-5ED7-4D2E-9932-1899AF610B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5ED7-4D2E-9932-1899AF610B1D}"/>
            </c:ext>
          </c:extLst>
        </c:ser>
        <c:dLbls>
          <c:dLblPos val="outEnd"/>
          <c:showLegendKey val="0"/>
          <c:showVal val="1"/>
          <c:showCatName val="0"/>
          <c:showSerName val="0"/>
          <c:showPercent val="0"/>
          <c:showBubbleSize val="0"/>
        </c:dLbls>
        <c:gapWidth val="50"/>
        <c:axId val="68916975"/>
        <c:axId val="49609551"/>
      </c:barChart>
      <c:catAx>
        <c:axId val="6891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49609551"/>
        <c:crosses val="autoZero"/>
        <c:auto val="1"/>
        <c:lblAlgn val="ctr"/>
        <c:lblOffset val="100"/>
        <c:noMultiLvlLbl val="0"/>
      </c:catAx>
      <c:valAx>
        <c:axId val="49609551"/>
        <c:scaling>
          <c:orientation val="minMax"/>
        </c:scaling>
        <c:delete val="0"/>
        <c:axPos val="b"/>
        <c:majorGridlines>
          <c:spPr>
            <a:ln w="6350" cap="flat" cmpd="sng" algn="ctr">
              <a:solidFill>
                <a:srgbClr val="D8C8B0"/>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6891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6D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18"/>
  </c:pivotSource>
  <c:chart>
    <c:title>
      <c:tx>
        <c:rich>
          <a:bodyPr rot="0" spcFirstLastPara="1" vertOverflow="ellipsis" vert="horz" wrap="square" anchor="ctr" anchorCtr="1"/>
          <a:lstStyle/>
          <a:p>
            <a:pPr>
              <a:defRPr sz="1600" b="0" i="0" u="none" strike="noStrike" kern="1200" spc="0" baseline="0">
                <a:solidFill>
                  <a:srgbClr val="2E1B10"/>
                </a:solidFill>
                <a:latin typeface="+mn-lt"/>
                <a:ea typeface="+mn-ea"/>
                <a:cs typeface="+mn-cs"/>
              </a:defRPr>
            </a:pPr>
            <a:r>
              <a:rPr lang="en-IN" sz="1600" b="1" i="0">
                <a:solidFill>
                  <a:srgbClr val="2E1B10"/>
                </a:solidFill>
                <a:effectLst/>
                <a:latin typeface="Times New Roman" panose="02020603050405020304" pitchFamily="18" charset="0"/>
                <a:cs typeface="Times New Roman" panose="02020603050405020304" pitchFamily="18" charset="0"/>
              </a:rPr>
              <a:t>Sales Trend by Coffee Type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2E1B10"/>
              </a:solidFill>
              <a:latin typeface="+mn-lt"/>
              <a:ea typeface="+mn-ea"/>
              <a:cs typeface="+mn-cs"/>
            </a:defRPr>
          </a:pPr>
          <a:endParaRPr lang="en-US"/>
        </a:p>
      </c:txPr>
    </c:title>
    <c:autoTitleDeleted val="0"/>
    <c:pivotFmts>
      <c:pivotFmt>
        <c:idx val="0"/>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5400" cap="rnd">
              <a:solidFill>
                <a:srgbClr val="6F8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E57-44F4-9F58-FFD007B8B785}"/>
            </c:ext>
          </c:extLst>
        </c:ser>
        <c:ser>
          <c:idx val="1"/>
          <c:order val="1"/>
          <c:tx>
            <c:strRef>
              <c:f>'Total Sales'!$D$3:$D$4</c:f>
              <c:strCache>
                <c:ptCount val="1"/>
                <c:pt idx="0">
                  <c:v>Excelsa</c:v>
                </c:pt>
              </c:strCache>
            </c:strRef>
          </c:tx>
          <c:spPr>
            <a:ln w="25400"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3101-4CAF-A8B9-2007B2A3021C}"/>
            </c:ext>
          </c:extLst>
        </c:ser>
        <c:ser>
          <c:idx val="2"/>
          <c:order val="2"/>
          <c:tx>
            <c:strRef>
              <c:f>'Total Sales'!$E$3:$E$4</c:f>
              <c:strCache>
                <c:ptCount val="1"/>
                <c:pt idx="0">
                  <c:v>Liberica</c:v>
                </c:pt>
              </c:strCache>
            </c:strRef>
          </c:tx>
          <c:spPr>
            <a:ln w="25400" cap="rnd">
              <a:solidFill>
                <a:srgbClr val="B28A6E"/>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3101-4CAF-A8B9-2007B2A3021C}"/>
            </c:ext>
          </c:extLst>
        </c:ser>
        <c:ser>
          <c:idx val="3"/>
          <c:order val="3"/>
          <c:tx>
            <c:strRef>
              <c:f>'Total Sales'!$F$3:$F$4</c:f>
              <c:strCache>
                <c:ptCount val="1"/>
                <c:pt idx="0">
                  <c:v>Robusta</c:v>
                </c:pt>
              </c:strCache>
            </c:strRef>
          </c:tx>
          <c:spPr>
            <a:ln w="25400"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3101-4CAF-A8B9-2007B2A3021C}"/>
            </c:ext>
          </c:extLst>
        </c:ser>
        <c:dLbls>
          <c:showLegendKey val="0"/>
          <c:showVal val="0"/>
          <c:showCatName val="0"/>
          <c:showSerName val="0"/>
          <c:showPercent val="0"/>
          <c:showBubbleSize val="0"/>
        </c:dLbls>
        <c:smooth val="0"/>
        <c:axId val="358694239"/>
        <c:axId val="303290831"/>
      </c:lineChart>
      <c:catAx>
        <c:axId val="35869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0">
                    <a:latin typeface="Times New Roman" panose="02020603050405020304" pitchFamily="18" charset="0"/>
                    <a:cs typeface="Times New Roman" panose="02020603050405020304" pitchFamily="18" charset="0"/>
                  </a:rPr>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A30"/>
                </a:solidFill>
                <a:latin typeface="Times New Roman" panose="02020603050405020304" pitchFamily="18" charset="0"/>
                <a:ea typeface="+mn-ea"/>
                <a:cs typeface="Times New Roman" panose="02020603050405020304" pitchFamily="18" charset="0"/>
              </a:defRPr>
            </a:pPr>
            <a:endParaRPr lang="en-US"/>
          </a:p>
        </c:txPr>
        <c:crossAx val="303290831"/>
        <c:crosses val="autoZero"/>
        <c:auto val="1"/>
        <c:lblAlgn val="ctr"/>
        <c:lblOffset val="100"/>
        <c:tickLblSkip val="3"/>
        <c:noMultiLvlLbl val="0"/>
      </c:catAx>
      <c:valAx>
        <c:axId val="303290831"/>
        <c:scaling>
          <c:orientation val="minMax"/>
        </c:scaling>
        <c:delete val="0"/>
        <c:axPos val="l"/>
        <c:majorGridlines>
          <c:spPr>
            <a:ln w="6350" cap="flat" cmpd="sng" algn="ctr">
              <a:solidFill>
                <a:srgbClr val="D8C8B0"/>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latin typeface="Times New Roman" panose="02020603050405020304" pitchFamily="18" charset="0"/>
                    <a:cs typeface="Times New Roman" panose="02020603050405020304" pitchFamily="18" charset="0"/>
                  </a:rPr>
                  <a:t>USD</a:t>
                </a:r>
              </a:p>
            </c:rich>
          </c:tx>
          <c:overlay val="0"/>
          <c:spPr>
            <a:noFill/>
            <a:ln w="9525">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35869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A3A3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6D0"/>
    </a:solidFill>
    <a:ln w="9525" cap="flat" cmpd="sng" algn="ctr">
      <a:solidFill>
        <a:srgbClr val="2E1B1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23"/>
  </c:pivotSource>
  <c:chart>
    <c:title>
      <c:tx>
        <c:rich>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r>
              <a:rPr lang="en-US" b="1">
                <a:solidFill>
                  <a:srgbClr val="2E1B10"/>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endParaRPr lang="en-US"/>
        </a:p>
      </c:txPr>
    </c:title>
    <c:autoTitleDeleted val="0"/>
    <c:pivotFmts>
      <c:pivotFmt>
        <c:idx val="0"/>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432D"/>
          </a:solidFill>
          <a:ln>
            <a:noFill/>
          </a:ln>
          <a:effectLst/>
        </c:spPr>
      </c:pivotFmt>
      <c:pivotFmt>
        <c:idx val="2"/>
        <c:spPr>
          <a:solidFill>
            <a:srgbClr val="A88668"/>
          </a:solidFill>
          <a:ln>
            <a:noFill/>
          </a:ln>
          <a:effectLst/>
        </c:spPr>
      </c:pivotFmt>
      <c:pivotFmt>
        <c:idx val="3"/>
        <c:spPr>
          <a:solidFill>
            <a:srgbClr val="D8C1A3"/>
          </a:solidFill>
          <a:ln>
            <a:noFill/>
          </a:ln>
          <a:effectLst/>
        </c:spPr>
      </c:pivotFmt>
      <c:pivotFmt>
        <c:idx val="4"/>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8C1A3"/>
          </a:solidFill>
          <a:ln>
            <a:noFill/>
          </a:ln>
          <a:effectLst/>
        </c:spPr>
      </c:pivotFmt>
      <c:pivotFmt>
        <c:idx val="6"/>
        <c:spPr>
          <a:solidFill>
            <a:srgbClr val="A88668"/>
          </a:solidFill>
          <a:ln>
            <a:noFill/>
          </a:ln>
          <a:effectLst/>
        </c:spPr>
      </c:pivotFmt>
      <c:pivotFmt>
        <c:idx val="7"/>
        <c:spPr>
          <a:solidFill>
            <a:srgbClr val="6B432D"/>
          </a:solidFill>
          <a:ln>
            <a:noFill/>
          </a:ln>
          <a:effectLst/>
        </c:spPr>
      </c:pivotFmt>
      <c:pivotFmt>
        <c:idx val="8"/>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8C1A3"/>
          </a:solidFill>
          <a:ln>
            <a:noFill/>
          </a:ln>
          <a:effectLst/>
        </c:spPr>
      </c:pivotFmt>
      <c:pivotFmt>
        <c:idx val="10"/>
        <c:spPr>
          <a:solidFill>
            <a:srgbClr val="A88668"/>
          </a:solidFill>
          <a:ln>
            <a:noFill/>
          </a:ln>
          <a:effectLst/>
        </c:spPr>
      </c:pivotFmt>
      <c:pivotFmt>
        <c:idx val="11"/>
        <c:spPr>
          <a:solidFill>
            <a:srgbClr val="6B432D"/>
          </a:solidFill>
          <a:ln>
            <a:noFill/>
          </a:ln>
          <a:effectLst/>
        </c:spPr>
      </c:pivotFmt>
      <c:pivotFmt>
        <c:idx val="12"/>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8C1A3"/>
          </a:solidFill>
          <a:ln>
            <a:noFill/>
          </a:ln>
          <a:effectLst/>
        </c:spPr>
      </c:pivotFmt>
      <c:pivotFmt>
        <c:idx val="14"/>
        <c:spPr>
          <a:solidFill>
            <a:srgbClr val="A88668"/>
          </a:solidFill>
          <a:ln>
            <a:noFill/>
          </a:ln>
          <a:effectLst/>
        </c:spPr>
      </c:pivotFmt>
      <c:pivotFmt>
        <c:idx val="15"/>
        <c:spPr>
          <a:solidFill>
            <a:srgbClr val="6B432D"/>
          </a:solidFill>
          <a:ln>
            <a:noFill/>
          </a:ln>
          <a:effectLst/>
        </c:spPr>
      </c:pivotFmt>
      <c:pivotFmt>
        <c:idx val="16"/>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8C1A3"/>
          </a:solidFill>
          <a:ln>
            <a:noFill/>
          </a:ln>
          <a:effectLst/>
        </c:spPr>
      </c:pivotFmt>
      <c:pivotFmt>
        <c:idx val="18"/>
        <c:spPr>
          <a:solidFill>
            <a:srgbClr val="A88668"/>
          </a:solidFill>
          <a:ln>
            <a:noFill/>
          </a:ln>
          <a:effectLst/>
        </c:spPr>
      </c:pivotFmt>
      <c:pivotFmt>
        <c:idx val="19"/>
        <c:spPr>
          <a:solidFill>
            <a:srgbClr val="6B432D"/>
          </a:solidFill>
          <a:ln>
            <a:no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8A6A52"/>
            </a:solidFill>
            <a:ln>
              <a:noFill/>
            </a:ln>
            <a:effectLst/>
          </c:spPr>
          <c:invertIfNegative val="0"/>
          <c:dPt>
            <c:idx val="0"/>
            <c:invertIfNegative val="0"/>
            <c:bubble3D val="0"/>
            <c:spPr>
              <a:solidFill>
                <a:srgbClr val="D8C1A3"/>
              </a:solidFill>
              <a:ln>
                <a:noFill/>
              </a:ln>
              <a:effectLst/>
            </c:spPr>
            <c:extLst>
              <c:ext xmlns:c16="http://schemas.microsoft.com/office/drawing/2014/chart" uri="{C3380CC4-5D6E-409C-BE32-E72D297353CC}">
                <c16:uniqueId val="{00000001-9CD8-4F94-97E3-AEC3C4811A3D}"/>
              </c:ext>
            </c:extLst>
          </c:dPt>
          <c:dPt>
            <c:idx val="1"/>
            <c:invertIfNegative val="0"/>
            <c:bubble3D val="0"/>
            <c:spPr>
              <a:solidFill>
                <a:srgbClr val="A88668"/>
              </a:solidFill>
              <a:ln>
                <a:noFill/>
              </a:ln>
              <a:effectLst/>
            </c:spPr>
            <c:extLst>
              <c:ext xmlns:c16="http://schemas.microsoft.com/office/drawing/2014/chart" uri="{C3380CC4-5D6E-409C-BE32-E72D297353CC}">
                <c16:uniqueId val="{00000003-9CD8-4F94-97E3-AEC3C4811A3D}"/>
              </c:ext>
            </c:extLst>
          </c:dPt>
          <c:dPt>
            <c:idx val="2"/>
            <c:invertIfNegative val="0"/>
            <c:bubble3D val="0"/>
            <c:spPr>
              <a:solidFill>
                <a:srgbClr val="6B432D"/>
              </a:solidFill>
              <a:ln>
                <a:noFill/>
              </a:ln>
              <a:effectLst/>
            </c:spPr>
            <c:extLst>
              <c:ext xmlns:c16="http://schemas.microsoft.com/office/drawing/2014/chart" uri="{C3380CC4-5D6E-409C-BE32-E72D297353CC}">
                <c16:uniqueId val="{00000005-9CD8-4F94-97E3-AEC3C4811A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9CD8-4F94-97E3-AEC3C4811A3D}"/>
            </c:ext>
          </c:extLst>
        </c:ser>
        <c:dLbls>
          <c:dLblPos val="outEnd"/>
          <c:showLegendKey val="0"/>
          <c:showVal val="1"/>
          <c:showCatName val="0"/>
          <c:showSerName val="0"/>
          <c:showPercent val="0"/>
          <c:showBubbleSize val="0"/>
        </c:dLbls>
        <c:gapWidth val="50"/>
        <c:axId val="68916975"/>
        <c:axId val="49609551"/>
      </c:barChart>
      <c:catAx>
        <c:axId val="6891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49609551"/>
        <c:crosses val="autoZero"/>
        <c:auto val="1"/>
        <c:lblAlgn val="ctr"/>
        <c:lblOffset val="100"/>
        <c:noMultiLvlLbl val="0"/>
      </c:catAx>
      <c:valAx>
        <c:axId val="49609551"/>
        <c:scaling>
          <c:orientation val="minMax"/>
        </c:scaling>
        <c:delete val="0"/>
        <c:axPos val="b"/>
        <c:majorGridlines>
          <c:spPr>
            <a:ln w="6350" cap="flat" cmpd="sng" algn="ctr">
              <a:solidFill>
                <a:srgbClr val="D8C8B0"/>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6891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6D0"/>
    </a:solidFill>
    <a:ln w="9525" cap="flat" cmpd="sng" algn="ctr">
      <a:solidFill>
        <a:srgbClr val="2E1B1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25"/>
  </c:pivotSource>
  <c:chart>
    <c:title>
      <c:tx>
        <c:rich>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r>
              <a:rPr lang="en-US" b="1">
                <a:solidFill>
                  <a:srgbClr val="2E1B10"/>
                </a:solidFill>
              </a:rPr>
              <a:t>Top 5</a:t>
            </a:r>
            <a:r>
              <a:rPr lang="en-US" b="1" baseline="0">
                <a:solidFill>
                  <a:srgbClr val="2E1B10"/>
                </a:solidFill>
              </a:rPr>
              <a:t> Customers</a:t>
            </a:r>
            <a:endParaRPr lang="en-US" b="1">
              <a:solidFill>
                <a:srgbClr val="2E1B1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endParaRPr lang="en-US"/>
        </a:p>
      </c:txPr>
    </c:title>
    <c:autoTitleDeleted val="0"/>
    <c:pivotFmts>
      <c:pivotFmt>
        <c:idx val="0"/>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432D"/>
          </a:solidFill>
          <a:ln>
            <a:noFill/>
          </a:ln>
          <a:effectLst/>
        </c:spPr>
      </c:pivotFmt>
      <c:pivotFmt>
        <c:idx val="2"/>
        <c:spPr>
          <a:solidFill>
            <a:srgbClr val="A88668"/>
          </a:solidFill>
          <a:ln>
            <a:noFill/>
          </a:ln>
          <a:effectLst/>
        </c:spPr>
      </c:pivotFmt>
      <c:pivotFmt>
        <c:idx val="3"/>
        <c:spPr>
          <a:solidFill>
            <a:srgbClr val="D8C1A3"/>
          </a:solidFill>
          <a:ln>
            <a:noFill/>
          </a:ln>
          <a:effectLst/>
        </c:spPr>
      </c:pivotFmt>
      <c:pivotFmt>
        <c:idx val="4"/>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8C1A3"/>
          </a:solidFill>
          <a:ln>
            <a:noFill/>
          </a:ln>
          <a:effectLst/>
        </c:spPr>
      </c:pivotFmt>
      <c:pivotFmt>
        <c:idx val="6"/>
        <c:spPr>
          <a:solidFill>
            <a:srgbClr val="A88668"/>
          </a:solidFill>
          <a:ln>
            <a:noFill/>
          </a:ln>
          <a:effectLst/>
        </c:spPr>
      </c:pivotFmt>
      <c:pivotFmt>
        <c:idx val="7"/>
        <c:spPr>
          <a:solidFill>
            <a:srgbClr val="6B432D"/>
          </a:solidFill>
          <a:ln>
            <a:noFill/>
          </a:ln>
          <a:effectLst/>
        </c:spPr>
      </c:pivotFmt>
      <c:pivotFmt>
        <c:idx val="8"/>
        <c:spPr>
          <a:solidFill>
            <a:srgbClr val="8A6A52"/>
          </a:solidFill>
          <a:ln>
            <a:noFill/>
          </a:ln>
          <a:effectLst/>
        </c:spPr>
      </c:pivotFmt>
      <c:pivotFmt>
        <c:idx val="9"/>
        <c:spPr>
          <a:solidFill>
            <a:srgbClr val="A88668"/>
          </a:solidFill>
          <a:ln>
            <a:noFill/>
          </a:ln>
          <a:effectLst/>
        </c:spPr>
      </c:pivotFmt>
      <c:pivotFmt>
        <c:idx val="10"/>
        <c:spPr>
          <a:solidFill>
            <a:srgbClr val="C3A889"/>
          </a:solidFill>
          <a:ln>
            <a:noFill/>
          </a:ln>
          <a:effectLst/>
        </c:spPr>
      </c:pivotFmt>
      <c:pivotFmt>
        <c:idx val="11"/>
        <c:spPr>
          <a:solidFill>
            <a:srgbClr val="D8C1A3"/>
          </a:solidFill>
          <a:ln>
            <a:noFill/>
          </a:ln>
          <a:effectLst/>
        </c:spPr>
      </c:pivotFmt>
      <c:pivotFmt>
        <c:idx val="12"/>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8C1A3"/>
          </a:solidFill>
          <a:ln>
            <a:noFill/>
          </a:ln>
          <a:effectLst/>
        </c:spPr>
      </c:pivotFmt>
      <c:pivotFmt>
        <c:idx val="14"/>
        <c:spPr>
          <a:solidFill>
            <a:srgbClr val="C3A889"/>
          </a:solidFill>
          <a:ln>
            <a:noFill/>
          </a:ln>
          <a:effectLst/>
        </c:spPr>
      </c:pivotFmt>
      <c:pivotFmt>
        <c:idx val="15"/>
        <c:spPr>
          <a:solidFill>
            <a:srgbClr val="A88668"/>
          </a:solidFill>
          <a:ln>
            <a:noFill/>
          </a:ln>
          <a:effectLst/>
        </c:spPr>
      </c:pivotFmt>
      <c:pivotFmt>
        <c:idx val="16"/>
        <c:spPr>
          <a:solidFill>
            <a:srgbClr val="8A6A52"/>
          </a:solidFill>
          <a:ln>
            <a:noFill/>
          </a:ln>
          <a:effectLst/>
        </c:spPr>
      </c:pivotFmt>
      <c:pivotFmt>
        <c:idx val="17"/>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8C1A3"/>
          </a:solidFill>
          <a:ln>
            <a:noFill/>
          </a:ln>
          <a:effectLst/>
        </c:spPr>
      </c:pivotFmt>
      <c:pivotFmt>
        <c:idx val="19"/>
        <c:spPr>
          <a:solidFill>
            <a:srgbClr val="C3A889"/>
          </a:solidFill>
          <a:ln>
            <a:noFill/>
          </a:ln>
          <a:effectLst/>
        </c:spPr>
      </c:pivotFmt>
      <c:pivotFmt>
        <c:idx val="20"/>
        <c:spPr>
          <a:solidFill>
            <a:srgbClr val="A88668"/>
          </a:solidFill>
          <a:ln>
            <a:noFill/>
          </a:ln>
          <a:effectLst/>
        </c:spPr>
      </c:pivotFmt>
      <c:pivotFmt>
        <c:idx val="21"/>
        <c:spPr>
          <a:solidFill>
            <a:srgbClr val="8A6A52"/>
          </a:solidFill>
          <a:ln>
            <a:noFill/>
          </a:ln>
          <a:effectLst/>
        </c:spPr>
      </c:pivotFmt>
      <c:pivotFmt>
        <c:idx val="22"/>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D8C1A3"/>
          </a:solidFill>
          <a:ln>
            <a:noFill/>
          </a:ln>
          <a:effectLst/>
        </c:spPr>
      </c:pivotFmt>
      <c:pivotFmt>
        <c:idx val="24"/>
        <c:spPr>
          <a:solidFill>
            <a:srgbClr val="C3A889"/>
          </a:solidFill>
          <a:ln>
            <a:noFill/>
          </a:ln>
          <a:effectLst/>
        </c:spPr>
      </c:pivotFmt>
      <c:pivotFmt>
        <c:idx val="25"/>
        <c:spPr>
          <a:solidFill>
            <a:srgbClr val="A88668"/>
          </a:solidFill>
          <a:ln>
            <a:noFill/>
          </a:ln>
          <a:effectLst/>
        </c:spPr>
      </c:pivotFmt>
      <c:pivotFmt>
        <c:idx val="26"/>
        <c:spPr>
          <a:solidFill>
            <a:srgbClr val="8A6A52"/>
          </a:solidFill>
          <a:ln>
            <a:noFill/>
          </a:ln>
          <a:effectLst/>
        </c:spPr>
      </c:pivotFmt>
      <c:pivotFmt>
        <c:idx val="27"/>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D8C1A3"/>
          </a:solidFill>
          <a:ln>
            <a:noFill/>
          </a:ln>
          <a:effectLst/>
        </c:spPr>
      </c:pivotFmt>
      <c:pivotFmt>
        <c:idx val="29"/>
        <c:spPr>
          <a:solidFill>
            <a:srgbClr val="C3A889"/>
          </a:solidFill>
          <a:ln>
            <a:noFill/>
          </a:ln>
          <a:effectLst/>
        </c:spPr>
      </c:pivotFmt>
      <c:pivotFmt>
        <c:idx val="30"/>
        <c:spPr>
          <a:solidFill>
            <a:srgbClr val="A88668"/>
          </a:solidFill>
          <a:ln>
            <a:noFill/>
          </a:ln>
          <a:effectLst/>
        </c:spPr>
      </c:pivotFmt>
      <c:pivotFmt>
        <c:idx val="31"/>
        <c:spPr>
          <a:solidFill>
            <a:srgbClr val="8A6A52"/>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6B432D"/>
            </a:solidFill>
            <a:ln>
              <a:noFill/>
            </a:ln>
            <a:effectLst/>
          </c:spPr>
          <c:invertIfNegative val="0"/>
          <c:dPt>
            <c:idx val="0"/>
            <c:invertIfNegative val="0"/>
            <c:bubble3D val="0"/>
            <c:spPr>
              <a:solidFill>
                <a:srgbClr val="D8C1A3"/>
              </a:solidFill>
              <a:ln>
                <a:noFill/>
              </a:ln>
              <a:effectLst/>
            </c:spPr>
            <c:extLst>
              <c:ext xmlns:c16="http://schemas.microsoft.com/office/drawing/2014/chart" uri="{C3380CC4-5D6E-409C-BE32-E72D297353CC}">
                <c16:uniqueId val="{00000001-9954-425A-B320-0D97D4DBEFC9}"/>
              </c:ext>
            </c:extLst>
          </c:dPt>
          <c:dPt>
            <c:idx val="1"/>
            <c:invertIfNegative val="0"/>
            <c:bubble3D val="0"/>
            <c:spPr>
              <a:solidFill>
                <a:srgbClr val="C3A889"/>
              </a:solidFill>
              <a:ln>
                <a:noFill/>
              </a:ln>
              <a:effectLst/>
            </c:spPr>
            <c:extLst>
              <c:ext xmlns:c16="http://schemas.microsoft.com/office/drawing/2014/chart" uri="{C3380CC4-5D6E-409C-BE32-E72D297353CC}">
                <c16:uniqueId val="{00000003-9954-425A-B320-0D97D4DBEFC9}"/>
              </c:ext>
            </c:extLst>
          </c:dPt>
          <c:dPt>
            <c:idx val="2"/>
            <c:invertIfNegative val="0"/>
            <c:bubble3D val="0"/>
            <c:spPr>
              <a:solidFill>
                <a:srgbClr val="A88668"/>
              </a:solidFill>
              <a:ln>
                <a:noFill/>
              </a:ln>
              <a:effectLst/>
            </c:spPr>
            <c:extLst>
              <c:ext xmlns:c16="http://schemas.microsoft.com/office/drawing/2014/chart" uri="{C3380CC4-5D6E-409C-BE32-E72D297353CC}">
                <c16:uniqueId val="{00000005-9954-425A-B320-0D97D4DBEFC9}"/>
              </c:ext>
            </c:extLst>
          </c:dPt>
          <c:dPt>
            <c:idx val="3"/>
            <c:invertIfNegative val="0"/>
            <c:bubble3D val="0"/>
            <c:spPr>
              <a:solidFill>
                <a:srgbClr val="8A6A52"/>
              </a:solidFill>
              <a:ln>
                <a:noFill/>
              </a:ln>
              <a:effectLst/>
            </c:spPr>
            <c:extLst>
              <c:ext xmlns:c16="http://schemas.microsoft.com/office/drawing/2014/chart" uri="{C3380CC4-5D6E-409C-BE32-E72D297353CC}">
                <c16:uniqueId val="{00000007-9954-425A-B320-0D97D4DBEF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9954-425A-B320-0D97D4DBEFC9}"/>
            </c:ext>
          </c:extLst>
        </c:ser>
        <c:dLbls>
          <c:dLblPos val="outEnd"/>
          <c:showLegendKey val="0"/>
          <c:showVal val="1"/>
          <c:showCatName val="0"/>
          <c:showSerName val="0"/>
          <c:showPercent val="0"/>
          <c:showBubbleSize val="0"/>
        </c:dLbls>
        <c:gapWidth val="50"/>
        <c:axId val="68916975"/>
        <c:axId val="49609551"/>
      </c:barChart>
      <c:catAx>
        <c:axId val="6891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49609551"/>
        <c:crosses val="autoZero"/>
        <c:auto val="1"/>
        <c:lblAlgn val="ctr"/>
        <c:lblOffset val="100"/>
        <c:noMultiLvlLbl val="0"/>
      </c:catAx>
      <c:valAx>
        <c:axId val="49609551"/>
        <c:scaling>
          <c:orientation val="minMax"/>
        </c:scaling>
        <c:delete val="0"/>
        <c:axPos val="b"/>
        <c:majorGridlines>
          <c:spPr>
            <a:ln w="6350" cap="flat" cmpd="sng" algn="ctr">
              <a:solidFill>
                <a:srgbClr val="D8C8B0"/>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6891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6D0"/>
    </a:solidFill>
    <a:ln w="9525" cap="flat" cmpd="sng" algn="ctr">
      <a:solidFill>
        <a:srgbClr val="2E1B1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Sales!TotalSales</c:name>
    <c:fmtId val="21"/>
  </c:pivotSource>
  <c:chart>
    <c:title>
      <c:tx>
        <c:rich>
          <a:bodyPr rot="0" spcFirstLastPara="1" vertOverflow="ellipsis" vert="horz" wrap="square" anchor="ctr" anchorCtr="1"/>
          <a:lstStyle/>
          <a:p>
            <a:pPr>
              <a:defRPr sz="1600" b="0" i="0" u="none" strike="noStrike" kern="1200" spc="0" baseline="0">
                <a:solidFill>
                  <a:srgbClr val="2E1B10"/>
                </a:solidFill>
                <a:latin typeface="+mn-lt"/>
                <a:ea typeface="+mn-ea"/>
                <a:cs typeface="+mn-cs"/>
              </a:defRPr>
            </a:pPr>
            <a:r>
              <a:rPr lang="en-IN" sz="1600" b="1" i="0">
                <a:solidFill>
                  <a:srgbClr val="2E1B10"/>
                </a:solidFill>
                <a:effectLst/>
                <a:latin typeface="Times New Roman" panose="02020603050405020304" pitchFamily="18" charset="0"/>
                <a:cs typeface="Times New Roman" panose="02020603050405020304" pitchFamily="18" charset="0"/>
              </a:rPr>
              <a:t>Revenue</a:t>
            </a:r>
            <a:r>
              <a:rPr lang="en-IN" sz="1600" b="1" i="0" baseline="0">
                <a:solidFill>
                  <a:srgbClr val="2E1B10"/>
                </a:solidFill>
                <a:effectLst/>
                <a:latin typeface="Times New Roman" panose="02020603050405020304" pitchFamily="18" charset="0"/>
                <a:cs typeface="Times New Roman" panose="02020603050405020304" pitchFamily="18" charset="0"/>
              </a:rPr>
              <a:t> over time</a:t>
            </a:r>
            <a:endParaRPr lang="en-IN" sz="1600" b="1" i="0">
              <a:solidFill>
                <a:srgbClr val="2E1B10"/>
              </a:solidFill>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2E1B10"/>
              </a:solidFill>
              <a:latin typeface="+mn-lt"/>
              <a:ea typeface="+mn-ea"/>
              <a:cs typeface="+mn-cs"/>
            </a:defRPr>
          </a:pPr>
          <a:endParaRPr lang="en-US"/>
        </a:p>
      </c:txPr>
    </c:title>
    <c:autoTitleDeleted val="0"/>
    <c:pivotFmts>
      <c:pivotFmt>
        <c:idx val="0"/>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5400" cap="rnd">
            <a:solidFill>
              <a:srgbClr val="6F8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5400" cap="rnd">
            <a:solidFill>
              <a:srgbClr val="B28A6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5400" cap="rnd">
              <a:solidFill>
                <a:srgbClr val="6F8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C0D-45FC-BEBE-EAF919FA0CD3}"/>
            </c:ext>
          </c:extLst>
        </c:ser>
        <c:ser>
          <c:idx val="1"/>
          <c:order val="1"/>
          <c:tx>
            <c:strRef>
              <c:f>'Total Sales'!$D$3:$D$4</c:f>
              <c:strCache>
                <c:ptCount val="1"/>
                <c:pt idx="0">
                  <c:v>Excelsa</c:v>
                </c:pt>
              </c:strCache>
            </c:strRef>
          </c:tx>
          <c:spPr>
            <a:ln w="25400"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EC0D-45FC-BEBE-EAF919FA0CD3}"/>
            </c:ext>
          </c:extLst>
        </c:ser>
        <c:ser>
          <c:idx val="2"/>
          <c:order val="2"/>
          <c:tx>
            <c:strRef>
              <c:f>'Total Sales'!$E$3:$E$4</c:f>
              <c:strCache>
                <c:ptCount val="1"/>
                <c:pt idx="0">
                  <c:v>Liberica</c:v>
                </c:pt>
              </c:strCache>
            </c:strRef>
          </c:tx>
          <c:spPr>
            <a:ln w="25400" cap="rnd">
              <a:solidFill>
                <a:srgbClr val="B28A6E"/>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EC0D-45FC-BEBE-EAF919FA0CD3}"/>
            </c:ext>
          </c:extLst>
        </c:ser>
        <c:ser>
          <c:idx val="3"/>
          <c:order val="3"/>
          <c:tx>
            <c:strRef>
              <c:f>'Total Sales'!$F$3:$F$4</c:f>
              <c:strCache>
                <c:ptCount val="1"/>
                <c:pt idx="0">
                  <c:v>Robusta</c:v>
                </c:pt>
              </c:strCache>
            </c:strRef>
          </c:tx>
          <c:spPr>
            <a:ln w="25400"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C-EC0D-45FC-BEBE-EAF919FA0CD3}"/>
            </c:ext>
          </c:extLst>
        </c:ser>
        <c:dLbls>
          <c:showLegendKey val="0"/>
          <c:showVal val="0"/>
          <c:showCatName val="0"/>
          <c:showSerName val="0"/>
          <c:showPercent val="0"/>
          <c:showBubbleSize val="0"/>
        </c:dLbls>
        <c:smooth val="0"/>
        <c:axId val="358694239"/>
        <c:axId val="303290831"/>
      </c:lineChart>
      <c:catAx>
        <c:axId val="35869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A30"/>
                </a:solidFill>
                <a:latin typeface="Times New Roman" panose="02020603050405020304" pitchFamily="18" charset="0"/>
                <a:ea typeface="+mn-ea"/>
                <a:cs typeface="Times New Roman" panose="02020603050405020304" pitchFamily="18" charset="0"/>
              </a:defRPr>
            </a:pPr>
            <a:endParaRPr lang="en-US"/>
          </a:p>
        </c:txPr>
        <c:crossAx val="303290831"/>
        <c:crosses val="autoZero"/>
        <c:auto val="1"/>
        <c:lblAlgn val="ctr"/>
        <c:lblOffset val="100"/>
        <c:tickLblSkip val="3"/>
        <c:noMultiLvlLbl val="0"/>
      </c:catAx>
      <c:valAx>
        <c:axId val="303290831"/>
        <c:scaling>
          <c:orientation val="minMax"/>
        </c:scaling>
        <c:delete val="0"/>
        <c:axPos val="l"/>
        <c:majorGridlines>
          <c:spPr>
            <a:ln w="6350" cap="flat" cmpd="sng" algn="ctr">
              <a:solidFill>
                <a:srgbClr val="D8C8B0"/>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35869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D9C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28"/>
  </c:pivotSource>
  <c:chart>
    <c:title>
      <c:tx>
        <c:rich>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r>
              <a:rPr lang="en-US" b="1">
                <a:solidFill>
                  <a:srgbClr val="2E1B10"/>
                </a:solidFill>
              </a:rPr>
              <a:t>Top 5</a:t>
            </a:r>
            <a:r>
              <a:rPr lang="en-US" b="1" baseline="0">
                <a:solidFill>
                  <a:srgbClr val="2E1B10"/>
                </a:solidFill>
              </a:rPr>
              <a:t> Customer name by </a:t>
            </a:r>
          </a:p>
          <a:p>
            <a:pPr>
              <a:defRPr>
                <a:solidFill>
                  <a:srgbClr val="2E1B10"/>
                </a:solidFill>
              </a:defRPr>
            </a:pPr>
            <a:r>
              <a:rPr lang="en-US" b="1" baseline="0">
                <a:solidFill>
                  <a:srgbClr val="2E1B10"/>
                </a:solidFill>
              </a:rPr>
              <a:t>Revenue</a:t>
            </a:r>
            <a:endParaRPr lang="en-US" b="1">
              <a:solidFill>
                <a:srgbClr val="2E1B1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endParaRPr lang="en-US"/>
        </a:p>
      </c:txPr>
    </c:title>
    <c:autoTitleDeleted val="0"/>
    <c:pivotFmts>
      <c:pivotFmt>
        <c:idx val="0"/>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432D"/>
          </a:solidFill>
          <a:ln>
            <a:noFill/>
          </a:ln>
          <a:effectLst/>
        </c:spPr>
      </c:pivotFmt>
      <c:pivotFmt>
        <c:idx val="2"/>
        <c:spPr>
          <a:solidFill>
            <a:srgbClr val="A88668"/>
          </a:solidFill>
          <a:ln>
            <a:noFill/>
          </a:ln>
          <a:effectLst/>
        </c:spPr>
      </c:pivotFmt>
      <c:pivotFmt>
        <c:idx val="3"/>
        <c:spPr>
          <a:solidFill>
            <a:srgbClr val="D8C1A3"/>
          </a:solidFill>
          <a:ln>
            <a:noFill/>
          </a:ln>
          <a:effectLst/>
        </c:spPr>
      </c:pivotFmt>
      <c:pivotFmt>
        <c:idx val="4"/>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8C1A3"/>
          </a:solidFill>
          <a:ln>
            <a:noFill/>
          </a:ln>
          <a:effectLst/>
        </c:spPr>
      </c:pivotFmt>
      <c:pivotFmt>
        <c:idx val="6"/>
        <c:spPr>
          <a:solidFill>
            <a:srgbClr val="A88668"/>
          </a:solidFill>
          <a:ln>
            <a:noFill/>
          </a:ln>
          <a:effectLst/>
        </c:spPr>
      </c:pivotFmt>
      <c:pivotFmt>
        <c:idx val="7"/>
        <c:spPr>
          <a:solidFill>
            <a:srgbClr val="6B432D"/>
          </a:solidFill>
          <a:ln>
            <a:noFill/>
          </a:ln>
          <a:effectLst/>
        </c:spPr>
      </c:pivotFmt>
      <c:pivotFmt>
        <c:idx val="8"/>
        <c:spPr>
          <a:solidFill>
            <a:srgbClr val="8A6A52"/>
          </a:solidFill>
          <a:ln>
            <a:noFill/>
          </a:ln>
          <a:effectLst/>
        </c:spPr>
      </c:pivotFmt>
      <c:pivotFmt>
        <c:idx val="9"/>
        <c:spPr>
          <a:solidFill>
            <a:srgbClr val="A88668"/>
          </a:solidFill>
          <a:ln>
            <a:noFill/>
          </a:ln>
          <a:effectLst/>
        </c:spPr>
      </c:pivotFmt>
      <c:pivotFmt>
        <c:idx val="10"/>
        <c:spPr>
          <a:solidFill>
            <a:srgbClr val="C3A889"/>
          </a:solidFill>
          <a:ln>
            <a:noFill/>
          </a:ln>
          <a:effectLst/>
        </c:spPr>
      </c:pivotFmt>
      <c:pivotFmt>
        <c:idx val="11"/>
        <c:spPr>
          <a:solidFill>
            <a:srgbClr val="D8C1A3"/>
          </a:solidFill>
          <a:ln>
            <a:noFill/>
          </a:ln>
          <a:effectLst/>
        </c:spPr>
      </c:pivotFmt>
      <c:pivotFmt>
        <c:idx val="12"/>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8C1A3"/>
          </a:solidFill>
          <a:ln>
            <a:noFill/>
          </a:ln>
          <a:effectLst/>
        </c:spPr>
      </c:pivotFmt>
      <c:pivotFmt>
        <c:idx val="14"/>
        <c:spPr>
          <a:solidFill>
            <a:srgbClr val="C3A889"/>
          </a:solidFill>
          <a:ln>
            <a:noFill/>
          </a:ln>
          <a:effectLst/>
        </c:spPr>
      </c:pivotFmt>
      <c:pivotFmt>
        <c:idx val="15"/>
        <c:spPr>
          <a:solidFill>
            <a:srgbClr val="A88668"/>
          </a:solidFill>
          <a:ln>
            <a:noFill/>
          </a:ln>
          <a:effectLst/>
        </c:spPr>
      </c:pivotFmt>
      <c:pivotFmt>
        <c:idx val="16"/>
        <c:spPr>
          <a:solidFill>
            <a:srgbClr val="8A6A52"/>
          </a:solidFill>
          <a:ln>
            <a:noFill/>
          </a:ln>
          <a:effectLst/>
        </c:spPr>
      </c:pivotFmt>
      <c:pivotFmt>
        <c:idx val="17"/>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8C1A3"/>
          </a:solidFill>
          <a:ln>
            <a:noFill/>
          </a:ln>
          <a:effectLst/>
        </c:spPr>
      </c:pivotFmt>
      <c:pivotFmt>
        <c:idx val="19"/>
        <c:spPr>
          <a:solidFill>
            <a:srgbClr val="C3A889"/>
          </a:solidFill>
          <a:ln>
            <a:noFill/>
          </a:ln>
          <a:effectLst/>
        </c:spPr>
      </c:pivotFmt>
      <c:pivotFmt>
        <c:idx val="20"/>
        <c:spPr>
          <a:solidFill>
            <a:srgbClr val="A88668"/>
          </a:solidFill>
          <a:ln>
            <a:noFill/>
          </a:ln>
          <a:effectLst/>
        </c:spPr>
      </c:pivotFmt>
      <c:pivotFmt>
        <c:idx val="21"/>
        <c:spPr>
          <a:solidFill>
            <a:srgbClr val="8A6A52"/>
          </a:solidFill>
          <a:ln>
            <a:noFill/>
          </a:ln>
          <a:effectLst/>
        </c:spPr>
      </c:pivotFmt>
      <c:pivotFmt>
        <c:idx val="22"/>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D8C1A3"/>
          </a:solidFill>
          <a:ln>
            <a:noFill/>
          </a:ln>
          <a:effectLst/>
        </c:spPr>
      </c:pivotFmt>
      <c:pivotFmt>
        <c:idx val="24"/>
        <c:spPr>
          <a:solidFill>
            <a:srgbClr val="C3A889"/>
          </a:solidFill>
          <a:ln>
            <a:noFill/>
          </a:ln>
          <a:effectLst/>
        </c:spPr>
      </c:pivotFmt>
      <c:pivotFmt>
        <c:idx val="25"/>
        <c:spPr>
          <a:solidFill>
            <a:srgbClr val="A88668"/>
          </a:solidFill>
          <a:ln>
            <a:noFill/>
          </a:ln>
          <a:effectLst/>
        </c:spPr>
      </c:pivotFmt>
      <c:pivotFmt>
        <c:idx val="26"/>
        <c:spPr>
          <a:solidFill>
            <a:srgbClr val="8A6A52"/>
          </a:solidFill>
          <a:ln>
            <a:noFill/>
          </a:ln>
          <a:effectLst/>
        </c:spPr>
      </c:pivotFmt>
      <c:pivotFmt>
        <c:idx val="27"/>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D8C1A3"/>
          </a:solidFill>
          <a:ln>
            <a:noFill/>
          </a:ln>
          <a:effectLst/>
        </c:spPr>
      </c:pivotFmt>
      <c:pivotFmt>
        <c:idx val="29"/>
        <c:spPr>
          <a:solidFill>
            <a:srgbClr val="C3A889"/>
          </a:solidFill>
          <a:ln>
            <a:noFill/>
          </a:ln>
          <a:effectLst/>
        </c:spPr>
      </c:pivotFmt>
      <c:pivotFmt>
        <c:idx val="30"/>
        <c:spPr>
          <a:solidFill>
            <a:srgbClr val="A88668"/>
          </a:solidFill>
          <a:ln>
            <a:noFill/>
          </a:ln>
          <a:effectLst/>
        </c:spPr>
      </c:pivotFmt>
      <c:pivotFmt>
        <c:idx val="31"/>
        <c:spPr>
          <a:solidFill>
            <a:srgbClr val="8A6A52"/>
          </a:solidFill>
          <a:ln>
            <a:noFill/>
          </a:ln>
          <a:effectLst/>
        </c:spPr>
      </c:pivotFmt>
      <c:pivotFmt>
        <c:idx val="32"/>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D8C1A3"/>
          </a:solidFill>
          <a:ln>
            <a:noFill/>
          </a:ln>
          <a:effectLst/>
        </c:spPr>
      </c:pivotFmt>
      <c:pivotFmt>
        <c:idx val="34"/>
        <c:spPr>
          <a:solidFill>
            <a:srgbClr val="C3A889"/>
          </a:solidFill>
          <a:ln>
            <a:noFill/>
          </a:ln>
          <a:effectLst/>
        </c:spPr>
      </c:pivotFmt>
      <c:pivotFmt>
        <c:idx val="35"/>
        <c:spPr>
          <a:solidFill>
            <a:srgbClr val="A88668"/>
          </a:solidFill>
          <a:ln>
            <a:noFill/>
          </a:ln>
          <a:effectLst/>
        </c:spPr>
      </c:pivotFmt>
      <c:pivotFmt>
        <c:idx val="36"/>
        <c:spPr>
          <a:solidFill>
            <a:srgbClr val="8A6A52"/>
          </a:solidFill>
          <a:ln>
            <a:noFill/>
          </a:ln>
          <a:effectLst/>
        </c:spPr>
      </c:pivotFmt>
      <c:pivotFmt>
        <c:idx val="37"/>
        <c:spPr>
          <a:solidFill>
            <a:srgbClr val="6B43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D8C1A3"/>
          </a:solidFill>
          <a:ln>
            <a:noFill/>
          </a:ln>
          <a:effectLst/>
        </c:spPr>
      </c:pivotFmt>
      <c:pivotFmt>
        <c:idx val="39"/>
        <c:spPr>
          <a:solidFill>
            <a:srgbClr val="C3A889"/>
          </a:solidFill>
          <a:ln>
            <a:noFill/>
          </a:ln>
          <a:effectLst/>
        </c:spPr>
      </c:pivotFmt>
      <c:pivotFmt>
        <c:idx val="40"/>
        <c:spPr>
          <a:solidFill>
            <a:srgbClr val="A88668"/>
          </a:solidFill>
          <a:ln>
            <a:noFill/>
          </a:ln>
          <a:effectLst/>
        </c:spPr>
      </c:pivotFmt>
      <c:pivotFmt>
        <c:idx val="41"/>
        <c:spPr>
          <a:solidFill>
            <a:srgbClr val="8A6A52"/>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6B432D"/>
            </a:solidFill>
            <a:ln>
              <a:noFill/>
            </a:ln>
            <a:effectLst/>
          </c:spPr>
          <c:invertIfNegative val="0"/>
          <c:dPt>
            <c:idx val="0"/>
            <c:invertIfNegative val="0"/>
            <c:bubble3D val="0"/>
            <c:spPr>
              <a:solidFill>
                <a:srgbClr val="D8C1A3"/>
              </a:solidFill>
              <a:ln>
                <a:noFill/>
              </a:ln>
              <a:effectLst/>
            </c:spPr>
            <c:extLst>
              <c:ext xmlns:c16="http://schemas.microsoft.com/office/drawing/2014/chart" uri="{C3380CC4-5D6E-409C-BE32-E72D297353CC}">
                <c16:uniqueId val="{00000001-9AD4-4F02-B5EF-C7C5886DAD39}"/>
              </c:ext>
            </c:extLst>
          </c:dPt>
          <c:dPt>
            <c:idx val="1"/>
            <c:invertIfNegative val="0"/>
            <c:bubble3D val="0"/>
            <c:spPr>
              <a:solidFill>
                <a:srgbClr val="C3A889"/>
              </a:solidFill>
              <a:ln>
                <a:noFill/>
              </a:ln>
              <a:effectLst/>
            </c:spPr>
            <c:extLst>
              <c:ext xmlns:c16="http://schemas.microsoft.com/office/drawing/2014/chart" uri="{C3380CC4-5D6E-409C-BE32-E72D297353CC}">
                <c16:uniqueId val="{00000003-9AD4-4F02-B5EF-C7C5886DAD39}"/>
              </c:ext>
            </c:extLst>
          </c:dPt>
          <c:dPt>
            <c:idx val="2"/>
            <c:invertIfNegative val="0"/>
            <c:bubble3D val="0"/>
            <c:spPr>
              <a:solidFill>
                <a:srgbClr val="A88668"/>
              </a:solidFill>
              <a:ln>
                <a:noFill/>
              </a:ln>
              <a:effectLst/>
            </c:spPr>
            <c:extLst>
              <c:ext xmlns:c16="http://schemas.microsoft.com/office/drawing/2014/chart" uri="{C3380CC4-5D6E-409C-BE32-E72D297353CC}">
                <c16:uniqueId val="{00000005-9AD4-4F02-B5EF-C7C5886DAD39}"/>
              </c:ext>
            </c:extLst>
          </c:dPt>
          <c:dPt>
            <c:idx val="3"/>
            <c:invertIfNegative val="0"/>
            <c:bubble3D val="0"/>
            <c:spPr>
              <a:solidFill>
                <a:srgbClr val="8A6A52"/>
              </a:solidFill>
              <a:ln>
                <a:noFill/>
              </a:ln>
              <a:effectLst/>
            </c:spPr>
            <c:extLst>
              <c:ext xmlns:c16="http://schemas.microsoft.com/office/drawing/2014/chart" uri="{C3380CC4-5D6E-409C-BE32-E72D297353CC}">
                <c16:uniqueId val="{00000007-9AD4-4F02-B5EF-C7C5886DAD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9AD4-4F02-B5EF-C7C5886DAD39}"/>
            </c:ext>
          </c:extLst>
        </c:ser>
        <c:dLbls>
          <c:dLblPos val="outEnd"/>
          <c:showLegendKey val="0"/>
          <c:showVal val="1"/>
          <c:showCatName val="0"/>
          <c:showSerName val="0"/>
          <c:showPercent val="0"/>
          <c:showBubbleSize val="0"/>
        </c:dLbls>
        <c:gapWidth val="50"/>
        <c:axId val="68916975"/>
        <c:axId val="49609551"/>
      </c:barChart>
      <c:catAx>
        <c:axId val="6891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49609551"/>
        <c:crosses val="autoZero"/>
        <c:auto val="1"/>
        <c:lblAlgn val="ctr"/>
        <c:lblOffset val="100"/>
        <c:noMultiLvlLbl val="0"/>
      </c:catAx>
      <c:valAx>
        <c:axId val="49609551"/>
        <c:scaling>
          <c:orientation val="minMax"/>
        </c:scaling>
        <c:delete val="0"/>
        <c:axPos val="b"/>
        <c:majorGridlines>
          <c:spPr>
            <a:ln w="6350" cap="flat" cmpd="sng" algn="ctr">
              <a:solidFill>
                <a:srgbClr val="D8C8B0"/>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6891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D9C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26"/>
  </c:pivotSource>
  <c:chart>
    <c:title>
      <c:tx>
        <c:rich>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r>
              <a:rPr lang="en-US" b="1">
                <a:solidFill>
                  <a:srgbClr val="2E1B10"/>
                </a:solidFill>
              </a:rPr>
              <a:t>Sales Distribution</a:t>
            </a:r>
            <a:r>
              <a:rPr lang="en-US" b="1" baseline="0">
                <a:solidFill>
                  <a:srgbClr val="2E1B10"/>
                </a:solidFill>
              </a:rPr>
              <a:t> </a:t>
            </a:r>
            <a:r>
              <a:rPr lang="en-US" b="1">
                <a:solidFill>
                  <a:srgbClr val="2E1B10"/>
                </a:solidFill>
              </a:rPr>
              <a:t>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E1B10"/>
              </a:solidFill>
              <a:latin typeface="+mn-lt"/>
              <a:ea typeface="+mn-ea"/>
              <a:cs typeface="+mn-cs"/>
            </a:defRPr>
          </a:pPr>
          <a:endParaRPr lang="en-US"/>
        </a:p>
      </c:txPr>
    </c:title>
    <c:autoTitleDeleted val="0"/>
    <c:pivotFmts>
      <c:pivotFmt>
        <c:idx val="0"/>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432D"/>
          </a:solidFill>
          <a:ln>
            <a:noFill/>
          </a:ln>
          <a:effectLst/>
        </c:spPr>
      </c:pivotFmt>
      <c:pivotFmt>
        <c:idx val="2"/>
        <c:spPr>
          <a:solidFill>
            <a:srgbClr val="A88668"/>
          </a:solidFill>
          <a:ln>
            <a:noFill/>
          </a:ln>
          <a:effectLst/>
        </c:spPr>
      </c:pivotFmt>
      <c:pivotFmt>
        <c:idx val="3"/>
        <c:spPr>
          <a:solidFill>
            <a:srgbClr val="D8C1A3"/>
          </a:solidFill>
          <a:ln>
            <a:noFill/>
          </a:ln>
          <a:effectLst/>
        </c:spPr>
      </c:pivotFmt>
      <c:pivotFmt>
        <c:idx val="4"/>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8C1A3"/>
          </a:solidFill>
          <a:ln>
            <a:noFill/>
          </a:ln>
          <a:effectLst/>
        </c:spPr>
      </c:pivotFmt>
      <c:pivotFmt>
        <c:idx val="6"/>
        <c:spPr>
          <a:solidFill>
            <a:srgbClr val="A88668"/>
          </a:solidFill>
          <a:ln>
            <a:noFill/>
          </a:ln>
          <a:effectLst/>
        </c:spPr>
      </c:pivotFmt>
      <c:pivotFmt>
        <c:idx val="7"/>
        <c:spPr>
          <a:solidFill>
            <a:srgbClr val="6B432D"/>
          </a:solidFill>
          <a:ln>
            <a:noFill/>
          </a:ln>
          <a:effectLst/>
        </c:spPr>
      </c:pivotFmt>
      <c:pivotFmt>
        <c:idx val="8"/>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8C1A3"/>
          </a:solidFill>
          <a:ln>
            <a:noFill/>
          </a:ln>
          <a:effectLst/>
        </c:spPr>
      </c:pivotFmt>
      <c:pivotFmt>
        <c:idx val="10"/>
        <c:spPr>
          <a:solidFill>
            <a:srgbClr val="A88668"/>
          </a:solidFill>
          <a:ln>
            <a:noFill/>
          </a:ln>
          <a:effectLst/>
        </c:spPr>
      </c:pivotFmt>
      <c:pivotFmt>
        <c:idx val="11"/>
        <c:spPr>
          <a:solidFill>
            <a:srgbClr val="6B432D"/>
          </a:solidFill>
          <a:ln>
            <a:noFill/>
          </a:ln>
          <a:effectLst/>
        </c:spPr>
      </c:pivotFmt>
      <c:pivotFmt>
        <c:idx val="12"/>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8C1A3"/>
          </a:solidFill>
          <a:ln>
            <a:noFill/>
          </a:ln>
          <a:effectLst/>
        </c:spPr>
      </c:pivotFmt>
      <c:pivotFmt>
        <c:idx val="14"/>
        <c:spPr>
          <a:solidFill>
            <a:srgbClr val="A88668"/>
          </a:solidFill>
          <a:ln>
            <a:noFill/>
          </a:ln>
          <a:effectLst/>
        </c:spPr>
      </c:pivotFmt>
      <c:pivotFmt>
        <c:idx val="15"/>
        <c:spPr>
          <a:solidFill>
            <a:srgbClr val="6B432D"/>
          </a:solidFill>
          <a:ln>
            <a:noFill/>
          </a:ln>
          <a:effectLst/>
        </c:spPr>
      </c:pivotFmt>
      <c:pivotFmt>
        <c:idx val="16"/>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8C1A3"/>
          </a:solidFill>
          <a:ln>
            <a:noFill/>
          </a:ln>
          <a:effectLst/>
        </c:spPr>
      </c:pivotFmt>
      <c:pivotFmt>
        <c:idx val="18"/>
        <c:spPr>
          <a:solidFill>
            <a:srgbClr val="A88668"/>
          </a:solidFill>
          <a:ln>
            <a:noFill/>
          </a:ln>
          <a:effectLst/>
        </c:spPr>
      </c:pivotFmt>
      <c:pivotFmt>
        <c:idx val="19"/>
        <c:spPr>
          <a:solidFill>
            <a:srgbClr val="6B432D"/>
          </a:solidFill>
          <a:ln>
            <a:noFill/>
          </a:ln>
          <a:effectLst/>
        </c:spPr>
      </c:pivotFmt>
      <c:pivotFmt>
        <c:idx val="20"/>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8C1A3"/>
          </a:solidFill>
          <a:ln>
            <a:noFill/>
          </a:ln>
          <a:effectLst/>
        </c:spPr>
      </c:pivotFmt>
      <c:pivotFmt>
        <c:idx val="22"/>
        <c:spPr>
          <a:solidFill>
            <a:srgbClr val="A88668"/>
          </a:solidFill>
          <a:ln>
            <a:noFill/>
          </a:ln>
          <a:effectLst/>
        </c:spPr>
      </c:pivotFmt>
      <c:pivotFmt>
        <c:idx val="23"/>
        <c:spPr>
          <a:solidFill>
            <a:srgbClr val="6B432D"/>
          </a:solidFill>
          <a:ln>
            <a:noFill/>
          </a:ln>
          <a:effectLst/>
        </c:spPr>
      </c:pivotFmt>
      <c:pivotFmt>
        <c:idx val="24"/>
        <c:spPr>
          <a:solidFill>
            <a:srgbClr val="8A6A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8C1A3"/>
          </a:solidFill>
          <a:ln>
            <a:noFill/>
          </a:ln>
          <a:effectLst/>
        </c:spPr>
      </c:pivotFmt>
      <c:pivotFmt>
        <c:idx val="26"/>
        <c:spPr>
          <a:solidFill>
            <a:srgbClr val="A88668"/>
          </a:solidFill>
          <a:ln>
            <a:noFill/>
          </a:ln>
          <a:effectLst/>
        </c:spPr>
      </c:pivotFmt>
      <c:pivotFmt>
        <c:idx val="27"/>
        <c:spPr>
          <a:solidFill>
            <a:srgbClr val="6B432D"/>
          </a:solidFill>
          <a:ln>
            <a:noFill/>
          </a:ln>
          <a:effectLst/>
        </c:spPr>
      </c:pivotFmt>
    </c:pivotFmts>
    <c:plotArea>
      <c:layout/>
      <c:barChart>
        <c:barDir val="col"/>
        <c:grouping val="clustered"/>
        <c:varyColors val="0"/>
        <c:ser>
          <c:idx val="0"/>
          <c:order val="0"/>
          <c:tx>
            <c:strRef>
              <c:f>'Country Bar Chart'!$B$3</c:f>
              <c:strCache>
                <c:ptCount val="1"/>
                <c:pt idx="0">
                  <c:v>Total</c:v>
                </c:pt>
              </c:strCache>
            </c:strRef>
          </c:tx>
          <c:spPr>
            <a:solidFill>
              <a:srgbClr val="8A6A52"/>
            </a:solidFill>
            <a:ln>
              <a:noFill/>
            </a:ln>
            <a:effectLst/>
          </c:spPr>
          <c:invertIfNegative val="0"/>
          <c:dPt>
            <c:idx val="0"/>
            <c:invertIfNegative val="0"/>
            <c:bubble3D val="0"/>
            <c:spPr>
              <a:solidFill>
                <a:srgbClr val="D8C1A3"/>
              </a:solidFill>
              <a:ln>
                <a:noFill/>
              </a:ln>
              <a:effectLst/>
            </c:spPr>
            <c:extLst>
              <c:ext xmlns:c16="http://schemas.microsoft.com/office/drawing/2014/chart" uri="{C3380CC4-5D6E-409C-BE32-E72D297353CC}">
                <c16:uniqueId val="{00000001-A708-4E11-95E7-2FEFC6054E27}"/>
              </c:ext>
            </c:extLst>
          </c:dPt>
          <c:dPt>
            <c:idx val="1"/>
            <c:invertIfNegative val="0"/>
            <c:bubble3D val="0"/>
            <c:spPr>
              <a:solidFill>
                <a:srgbClr val="A88668"/>
              </a:solidFill>
              <a:ln>
                <a:noFill/>
              </a:ln>
              <a:effectLst/>
            </c:spPr>
            <c:extLst>
              <c:ext xmlns:c16="http://schemas.microsoft.com/office/drawing/2014/chart" uri="{C3380CC4-5D6E-409C-BE32-E72D297353CC}">
                <c16:uniqueId val="{00000003-A708-4E11-95E7-2FEFC6054E27}"/>
              </c:ext>
            </c:extLst>
          </c:dPt>
          <c:dPt>
            <c:idx val="2"/>
            <c:invertIfNegative val="0"/>
            <c:bubble3D val="0"/>
            <c:spPr>
              <a:solidFill>
                <a:srgbClr val="6B432D"/>
              </a:solidFill>
              <a:ln>
                <a:noFill/>
              </a:ln>
              <a:effectLst/>
            </c:spPr>
            <c:extLst>
              <c:ext xmlns:c16="http://schemas.microsoft.com/office/drawing/2014/chart" uri="{C3380CC4-5D6E-409C-BE32-E72D297353CC}">
                <c16:uniqueId val="{00000005-A708-4E11-95E7-2FEFC6054E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708-4E11-95E7-2FEFC6054E27}"/>
            </c:ext>
          </c:extLst>
        </c:ser>
        <c:dLbls>
          <c:dLblPos val="outEnd"/>
          <c:showLegendKey val="0"/>
          <c:showVal val="1"/>
          <c:showCatName val="0"/>
          <c:showSerName val="0"/>
          <c:showPercent val="0"/>
          <c:showBubbleSize val="0"/>
        </c:dLbls>
        <c:gapWidth val="200"/>
        <c:axId val="68916975"/>
        <c:axId val="49609551"/>
      </c:barChart>
      <c:catAx>
        <c:axId val="6891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A30"/>
                </a:solidFill>
                <a:latin typeface="+mn-lt"/>
                <a:ea typeface="+mn-ea"/>
                <a:cs typeface="+mn-cs"/>
              </a:defRPr>
            </a:pPr>
            <a:endParaRPr lang="en-US"/>
          </a:p>
        </c:txPr>
        <c:crossAx val="49609551"/>
        <c:crosses val="autoZero"/>
        <c:auto val="1"/>
        <c:lblAlgn val="ctr"/>
        <c:lblOffset val="100"/>
        <c:noMultiLvlLbl val="0"/>
      </c:catAx>
      <c:valAx>
        <c:axId val="49609551"/>
        <c:scaling>
          <c:orientation val="minMax"/>
        </c:scaling>
        <c:delete val="1"/>
        <c:axPos val="l"/>
        <c:majorGridlines>
          <c:spPr>
            <a:ln w="6350" cap="flat" cmpd="sng" algn="ctr">
              <a:noFill/>
              <a:round/>
            </a:ln>
            <a:effectLst/>
          </c:spPr>
        </c:majorGridlines>
        <c:numFmt formatCode="[$$-409]#,##0" sourceLinked="1"/>
        <c:majorTickMark val="none"/>
        <c:minorTickMark val="none"/>
        <c:tickLblPos val="nextTo"/>
        <c:crossAx val="6891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D9C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Quantity!PivotTable1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rgbClr val="2E1B10"/>
                </a:solidFill>
                <a:effectLst/>
                <a:latin typeface="Times New Roman" panose="02020603050405020304" pitchFamily="18" charset="0"/>
                <a:cs typeface="Times New Roman" panose="02020603050405020304" pitchFamily="18" charset="0"/>
              </a:rPr>
              <a:t>Quantity Ordered by Coffee Roast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855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432D"/>
          </a:solidFill>
          <a:ln>
            <a:noFill/>
          </a:ln>
          <a:effectLst/>
        </c:spPr>
      </c:pivotFmt>
      <c:pivotFmt>
        <c:idx val="2"/>
        <c:spPr>
          <a:solidFill>
            <a:srgbClr val="A88668"/>
          </a:solidFill>
          <a:ln>
            <a:noFill/>
          </a:ln>
          <a:effectLst/>
        </c:spPr>
      </c:pivotFmt>
      <c:pivotFmt>
        <c:idx val="3"/>
        <c:spPr>
          <a:solidFill>
            <a:srgbClr val="D8C1A3"/>
          </a:solidFill>
          <a:ln>
            <a:noFill/>
          </a:ln>
          <a:effectLst/>
        </c:spPr>
      </c:pivotFmt>
      <c:pivotFmt>
        <c:idx val="4"/>
        <c:spPr>
          <a:solidFill>
            <a:srgbClr val="8855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8C1A3"/>
          </a:solidFill>
          <a:ln>
            <a:noFill/>
          </a:ln>
          <a:effectLst/>
        </c:spPr>
      </c:pivotFmt>
      <c:pivotFmt>
        <c:idx val="6"/>
        <c:spPr>
          <a:solidFill>
            <a:srgbClr val="A88668"/>
          </a:solidFill>
          <a:ln>
            <a:noFill/>
          </a:ln>
          <a:effectLst/>
        </c:spPr>
      </c:pivotFmt>
      <c:pivotFmt>
        <c:idx val="7"/>
        <c:spPr>
          <a:solidFill>
            <a:srgbClr val="6B432D"/>
          </a:solidFill>
          <a:ln>
            <a:noFill/>
          </a:ln>
          <a:effectLst/>
        </c:spPr>
      </c:pivotFmt>
      <c:pivotFmt>
        <c:idx val="8"/>
        <c:spPr>
          <a:solidFill>
            <a:srgbClr val="8855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8C1A3"/>
          </a:solidFill>
          <a:ln>
            <a:noFill/>
          </a:ln>
          <a:effectLst/>
        </c:spPr>
      </c:pivotFmt>
      <c:pivotFmt>
        <c:idx val="10"/>
        <c:spPr>
          <a:solidFill>
            <a:srgbClr val="A88668"/>
          </a:solidFill>
          <a:ln>
            <a:noFill/>
          </a:ln>
          <a:effectLst/>
        </c:spPr>
      </c:pivotFmt>
      <c:pivotFmt>
        <c:idx val="11"/>
        <c:spPr>
          <a:solidFill>
            <a:srgbClr val="6B432D"/>
          </a:solidFill>
          <a:ln>
            <a:noFill/>
          </a:ln>
          <a:effectLst/>
        </c:spPr>
      </c:pivotFmt>
    </c:pivotFmts>
    <c:plotArea>
      <c:layout/>
      <c:barChart>
        <c:barDir val="bar"/>
        <c:grouping val="clustered"/>
        <c:varyColors val="0"/>
        <c:ser>
          <c:idx val="0"/>
          <c:order val="0"/>
          <c:tx>
            <c:strRef>
              <c:f>'Total Quantity'!$B$3</c:f>
              <c:strCache>
                <c:ptCount val="1"/>
                <c:pt idx="0">
                  <c:v>Total</c:v>
                </c:pt>
              </c:strCache>
            </c:strRef>
          </c:tx>
          <c:spPr>
            <a:solidFill>
              <a:srgbClr val="885536"/>
            </a:solidFill>
            <a:ln>
              <a:noFill/>
            </a:ln>
            <a:effectLst/>
          </c:spPr>
          <c:invertIfNegative val="0"/>
          <c:dPt>
            <c:idx val="0"/>
            <c:invertIfNegative val="0"/>
            <c:bubble3D val="0"/>
            <c:spPr>
              <a:solidFill>
                <a:srgbClr val="D8C1A3"/>
              </a:solidFill>
              <a:ln>
                <a:noFill/>
              </a:ln>
              <a:effectLst/>
            </c:spPr>
            <c:extLst>
              <c:ext xmlns:c16="http://schemas.microsoft.com/office/drawing/2014/chart" uri="{C3380CC4-5D6E-409C-BE32-E72D297353CC}">
                <c16:uniqueId val="{00000001-22CC-4ACC-B958-72A2D6896DE6}"/>
              </c:ext>
            </c:extLst>
          </c:dPt>
          <c:dPt>
            <c:idx val="1"/>
            <c:invertIfNegative val="0"/>
            <c:bubble3D val="0"/>
            <c:spPr>
              <a:solidFill>
                <a:srgbClr val="A88668"/>
              </a:solidFill>
              <a:ln>
                <a:noFill/>
              </a:ln>
              <a:effectLst/>
            </c:spPr>
            <c:extLst>
              <c:ext xmlns:c16="http://schemas.microsoft.com/office/drawing/2014/chart" uri="{C3380CC4-5D6E-409C-BE32-E72D297353CC}">
                <c16:uniqueId val="{00000003-22CC-4ACC-B958-72A2D6896DE6}"/>
              </c:ext>
            </c:extLst>
          </c:dPt>
          <c:dPt>
            <c:idx val="2"/>
            <c:invertIfNegative val="0"/>
            <c:bubble3D val="0"/>
            <c:spPr>
              <a:solidFill>
                <a:srgbClr val="6B432D"/>
              </a:solidFill>
              <a:ln>
                <a:noFill/>
              </a:ln>
              <a:effectLst/>
            </c:spPr>
            <c:extLst>
              <c:ext xmlns:c16="http://schemas.microsoft.com/office/drawing/2014/chart" uri="{C3380CC4-5D6E-409C-BE32-E72D297353CC}">
                <c16:uniqueId val="{00000005-22CC-4ACC-B958-72A2D6896D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Quantity'!$A$4:$A$7</c:f>
              <c:strCache>
                <c:ptCount val="3"/>
                <c:pt idx="0">
                  <c:v>Dark</c:v>
                </c:pt>
                <c:pt idx="1">
                  <c:v>Medium</c:v>
                </c:pt>
                <c:pt idx="2">
                  <c:v>Light</c:v>
                </c:pt>
              </c:strCache>
            </c:strRef>
          </c:cat>
          <c:val>
            <c:numRef>
              <c:f>'Total Quantity'!$B$4:$B$7</c:f>
              <c:numCache>
                <c:formatCode>General</c:formatCode>
                <c:ptCount val="3"/>
                <c:pt idx="0">
                  <c:v>1156</c:v>
                </c:pt>
                <c:pt idx="1">
                  <c:v>1165</c:v>
                </c:pt>
                <c:pt idx="2">
                  <c:v>1230</c:v>
                </c:pt>
              </c:numCache>
            </c:numRef>
          </c:val>
          <c:extLst>
            <c:ext xmlns:c16="http://schemas.microsoft.com/office/drawing/2014/chart" uri="{C3380CC4-5D6E-409C-BE32-E72D297353CC}">
              <c16:uniqueId val="{00000006-22CC-4ACC-B958-72A2D6896DE6}"/>
            </c:ext>
          </c:extLst>
        </c:ser>
        <c:dLbls>
          <c:dLblPos val="outEnd"/>
          <c:showLegendKey val="0"/>
          <c:showVal val="1"/>
          <c:showCatName val="0"/>
          <c:showSerName val="0"/>
          <c:showPercent val="0"/>
          <c:showBubbleSize val="0"/>
        </c:dLbls>
        <c:gapWidth val="219"/>
        <c:axId val="446993823"/>
        <c:axId val="440789359"/>
      </c:barChart>
      <c:catAx>
        <c:axId val="44699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89359"/>
        <c:crosses val="autoZero"/>
        <c:auto val="1"/>
        <c:lblAlgn val="ctr"/>
        <c:lblOffset val="100"/>
        <c:noMultiLvlLbl val="0"/>
      </c:catAx>
      <c:valAx>
        <c:axId val="440789359"/>
        <c:scaling>
          <c:orientation val="minMax"/>
        </c:scaling>
        <c:delete val="1"/>
        <c:axPos val="b"/>
        <c:numFmt formatCode="General" sourceLinked="1"/>
        <c:majorTickMark val="none"/>
        <c:minorTickMark val="none"/>
        <c:tickLblPos val="nextTo"/>
        <c:crossAx val="44699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D9C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1.png"/><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397961</xdr:colOff>
      <xdr:row>10</xdr:row>
      <xdr:rowOff>49161</xdr:rowOff>
    </xdr:from>
    <xdr:to>
      <xdr:col>19</xdr:col>
      <xdr:colOff>57355</xdr:colOff>
      <xdr:row>29</xdr:row>
      <xdr:rowOff>46653</xdr:rowOff>
    </xdr:to>
    <xdr:graphicFrame macro="">
      <xdr:nvGraphicFramePr>
        <xdr:cNvPr id="3" name="Chart 2">
          <a:extLst>
            <a:ext uri="{FF2B5EF4-FFF2-40B4-BE49-F238E27FC236}">
              <a16:creationId xmlns:a16="http://schemas.microsoft.com/office/drawing/2014/main" id="{3E00D153-97A4-4EFF-AB43-732F0287F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373052</xdr:colOff>
      <xdr:row>1</xdr:row>
      <xdr:rowOff>83493</xdr:rowOff>
    </xdr:from>
    <xdr:to>
      <xdr:col>19</xdr:col>
      <xdr:colOff>73741</xdr:colOff>
      <xdr:row>10</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3071B085-8AF4-06F8-9852-93C46611449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567762" y="263751"/>
              <a:ext cx="752552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254001</xdr:colOff>
      <xdr:row>24</xdr:row>
      <xdr:rowOff>75710</xdr:rowOff>
    </xdr:from>
    <xdr:to>
      <xdr:col>22</xdr:col>
      <xdr:colOff>532583</xdr:colOff>
      <xdr:row>29</xdr:row>
      <xdr:rowOff>114712</xdr:rowOff>
    </xdr:to>
    <mc:AlternateContent xmlns:mc="http://schemas.openxmlformats.org/markup-compatibility/2006">
      <mc:Choice xmlns:a14="http://schemas.microsoft.com/office/drawing/2010/main" Requires="a14">
        <xdr:graphicFrame macro="">
          <xdr:nvGraphicFramePr>
            <xdr:cNvPr id="2" name="Size">
              <a:extLst>
                <a:ext uri="{FF2B5EF4-FFF2-40B4-BE49-F238E27FC236}">
                  <a16:creationId xmlns:a16="http://schemas.microsoft.com/office/drawing/2014/main" id="{3E343BF5-86CA-FB74-86DF-62C8AC45C92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068324" y="4401904"/>
              <a:ext cx="2097549" cy="940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114710</xdr:colOff>
      <xdr:row>1</xdr:row>
      <xdr:rowOff>80543</xdr:rowOff>
    </xdr:from>
    <xdr:to>
      <xdr:col>21</xdr:col>
      <xdr:colOff>262194</xdr:colOff>
      <xdr:row>8</xdr:row>
      <xdr:rowOff>90129</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47DBEFB3-1AE6-F9AC-432D-60BFE5DCAE6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3986387" y="260802"/>
              <a:ext cx="4383548" cy="730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218600</xdr:colOff>
      <xdr:row>18</xdr:row>
      <xdr:rowOff>65549</xdr:rowOff>
    </xdr:from>
    <xdr:to>
      <xdr:col>23</xdr:col>
      <xdr:colOff>8192</xdr:colOff>
      <xdr:row>23</xdr:row>
      <xdr:rowOff>131097</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E354F726-1CFE-DFC6-8672-CE49AB2D781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032923" y="3310194"/>
              <a:ext cx="2214882" cy="966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156825</xdr:colOff>
      <xdr:row>9</xdr:row>
      <xdr:rowOff>81935</xdr:rowOff>
    </xdr:from>
    <xdr:to>
      <xdr:col>22</xdr:col>
      <xdr:colOff>166658</xdr:colOff>
      <xdr:row>17</xdr:row>
      <xdr:rowOff>98323</xdr:rowOff>
    </xdr:to>
    <mc:AlternateContent xmlns:mc="http://schemas.openxmlformats.org/markup-compatibility/2006">
      <mc:Choice xmlns:a14="http://schemas.microsoft.com/office/drawing/2010/main" Requires="a14">
        <xdr:graphicFrame macro="">
          <xdr:nvGraphicFramePr>
            <xdr:cNvPr id="7" name="Coffee Type Name">
              <a:extLst>
                <a:ext uri="{FF2B5EF4-FFF2-40B4-BE49-F238E27FC236}">
                  <a16:creationId xmlns:a16="http://schemas.microsoft.com/office/drawing/2014/main" id="{4934DA03-F0ED-FA92-5425-266A61994BDF}"/>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13971148" y="1704258"/>
              <a:ext cx="1828800" cy="1458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6</xdr:row>
      <xdr:rowOff>99060</xdr:rowOff>
    </xdr:from>
    <xdr:to>
      <xdr:col>11</xdr:col>
      <xdr:colOff>312420</xdr:colOff>
      <xdr:row>21</xdr:row>
      <xdr:rowOff>99060</xdr:rowOff>
    </xdr:to>
    <xdr:graphicFrame macro="">
      <xdr:nvGraphicFramePr>
        <xdr:cNvPr id="3" name="Chart 2">
          <a:extLst>
            <a:ext uri="{FF2B5EF4-FFF2-40B4-BE49-F238E27FC236}">
              <a16:creationId xmlns:a16="http://schemas.microsoft.com/office/drawing/2014/main" id="{CEACF29B-9A89-DBE0-B18F-38E5C80C1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1073354</xdr:colOff>
      <xdr:row>1</xdr:row>
      <xdr:rowOff>99142</xdr:rowOff>
    </xdr:from>
    <xdr:to>
      <xdr:col>12</xdr:col>
      <xdr:colOff>270387</xdr:colOff>
      <xdr:row>16</xdr:row>
      <xdr:rowOff>138471</xdr:rowOff>
    </xdr:to>
    <xdr:graphicFrame macro="">
      <xdr:nvGraphicFramePr>
        <xdr:cNvPr id="7" name="Chart 6">
          <a:extLst>
            <a:ext uri="{FF2B5EF4-FFF2-40B4-BE49-F238E27FC236}">
              <a16:creationId xmlns:a16="http://schemas.microsoft.com/office/drawing/2014/main" id="{F074509C-66CF-C8FD-D606-F07EE04E5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1073354</xdr:colOff>
      <xdr:row>1</xdr:row>
      <xdr:rowOff>99142</xdr:rowOff>
    </xdr:from>
    <xdr:to>
      <xdr:col>12</xdr:col>
      <xdr:colOff>270387</xdr:colOff>
      <xdr:row>16</xdr:row>
      <xdr:rowOff>138471</xdr:rowOff>
    </xdr:to>
    <xdr:graphicFrame macro="">
      <xdr:nvGraphicFramePr>
        <xdr:cNvPr id="2" name="Chart 1">
          <a:extLst>
            <a:ext uri="{FF2B5EF4-FFF2-40B4-BE49-F238E27FC236}">
              <a16:creationId xmlns:a16="http://schemas.microsoft.com/office/drawing/2014/main" id="{C08150B5-061B-47CF-9067-978BDCFCB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40640</xdr:colOff>
      <xdr:row>0</xdr:row>
      <xdr:rowOff>50800</xdr:rowOff>
    </xdr:from>
    <xdr:to>
      <xdr:col>26</xdr:col>
      <xdr:colOff>50800</xdr:colOff>
      <xdr:row>34</xdr:row>
      <xdr:rowOff>132080</xdr:rowOff>
    </xdr:to>
    <xdr:sp macro="" textlink="">
      <xdr:nvSpPr>
        <xdr:cNvPr id="4" name="Rectangle 3">
          <a:extLst>
            <a:ext uri="{FF2B5EF4-FFF2-40B4-BE49-F238E27FC236}">
              <a16:creationId xmlns:a16="http://schemas.microsoft.com/office/drawing/2014/main" id="{8645E679-16FB-29EE-0FB5-D87B889ACCE2}"/>
            </a:ext>
          </a:extLst>
        </xdr:cNvPr>
        <xdr:cNvSpPr/>
      </xdr:nvSpPr>
      <xdr:spPr>
        <a:xfrm>
          <a:off x="162560" y="50800"/>
          <a:ext cx="15250160" cy="6177280"/>
        </a:xfrm>
        <a:prstGeom prst="rect">
          <a:avLst/>
        </a:prstGeom>
        <a:solidFill>
          <a:srgbClr val="F7F3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7F3ED"/>
            </a:solidFill>
          </a:endParaRPr>
        </a:p>
      </xdr:txBody>
    </xdr:sp>
    <xdr:clientData/>
  </xdr:twoCellAnchor>
  <xdr:twoCellAnchor>
    <xdr:from>
      <xdr:col>1</xdr:col>
      <xdr:colOff>48260</xdr:colOff>
      <xdr:row>1</xdr:row>
      <xdr:rowOff>18819</xdr:rowOff>
    </xdr:from>
    <xdr:to>
      <xdr:col>26</xdr:col>
      <xdr:colOff>40640</xdr:colOff>
      <xdr:row>5</xdr:row>
      <xdr:rowOff>20320</xdr:rowOff>
    </xdr:to>
    <xdr:sp macro="" textlink="">
      <xdr:nvSpPr>
        <xdr:cNvPr id="2" name="Rectangle: Rounded Corners 1">
          <a:extLst>
            <a:ext uri="{FF2B5EF4-FFF2-40B4-BE49-F238E27FC236}">
              <a16:creationId xmlns:a16="http://schemas.microsoft.com/office/drawing/2014/main" id="{BA356556-F1CD-6876-6798-61C4DFCC6F32}"/>
            </a:ext>
          </a:extLst>
        </xdr:cNvPr>
        <xdr:cNvSpPr/>
      </xdr:nvSpPr>
      <xdr:spPr>
        <a:xfrm>
          <a:off x="170180" y="79779"/>
          <a:ext cx="15232380" cy="733021"/>
        </a:xfrm>
        <a:prstGeom prst="roundRect">
          <a:avLst/>
        </a:prstGeom>
        <a:solidFill>
          <a:srgbClr val="2E1B1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500">
              <a:solidFill>
                <a:schemeClr val="bg1"/>
              </a:solidFill>
            </a:rPr>
            <a:t>COFFEE SALES DASHBOARD</a:t>
          </a:r>
        </a:p>
      </xdr:txBody>
    </xdr:sp>
    <xdr:clientData/>
  </xdr:twoCellAnchor>
  <xdr:twoCellAnchor editAs="oneCell">
    <xdr:from>
      <xdr:col>1</xdr:col>
      <xdr:colOff>71120</xdr:colOff>
      <xdr:row>5</xdr:row>
      <xdr:rowOff>60960</xdr:rowOff>
    </xdr:from>
    <xdr:to>
      <xdr:col>16</xdr:col>
      <xdr:colOff>441420</xdr:colOff>
      <xdr:row>16</xdr:row>
      <xdr:rowOff>91440</xdr:rowOff>
    </xdr:to>
    <mc:AlternateContent xmlns:mc="http://schemas.openxmlformats.org/markup-compatibility/2006" xmlns:tsle="http://schemas.microsoft.com/office/drawing/2012/timeslicer">
      <mc:Choice Requires="tsle">
        <xdr:graphicFrame macro="">
          <xdr:nvGraphicFramePr>
            <xdr:cNvPr id="5" name="Order Date 2">
              <a:extLst>
                <a:ext uri="{FF2B5EF4-FFF2-40B4-BE49-F238E27FC236}">
                  <a16:creationId xmlns:a16="http://schemas.microsoft.com/office/drawing/2014/main" id="{7680B05D-8948-4A12-9454-C1E7BD8A7FA2}"/>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93416" y="832367"/>
              <a:ext cx="9542523" cy="19966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508000</xdr:colOff>
      <xdr:row>5</xdr:row>
      <xdr:rowOff>50800</xdr:rowOff>
    </xdr:from>
    <xdr:to>
      <xdr:col>26</xdr:col>
      <xdr:colOff>10160</xdr:colOff>
      <xdr:row>10</xdr:row>
      <xdr:rowOff>24457</xdr:rowOff>
    </xdr:to>
    <xdr:sp macro="" textlink="">
      <xdr:nvSpPr>
        <xdr:cNvPr id="6" name="Rectangle: Rounded Corners 5">
          <a:extLst>
            <a:ext uri="{FF2B5EF4-FFF2-40B4-BE49-F238E27FC236}">
              <a16:creationId xmlns:a16="http://schemas.microsoft.com/office/drawing/2014/main" id="{2B44BFFF-8027-4802-8164-BB4062C2FD31}"/>
            </a:ext>
          </a:extLst>
        </xdr:cNvPr>
        <xdr:cNvSpPr/>
      </xdr:nvSpPr>
      <xdr:spPr>
        <a:xfrm>
          <a:off x="9773920" y="843280"/>
          <a:ext cx="5598160" cy="888057"/>
        </a:xfrm>
        <a:prstGeom prst="roundRect">
          <a:avLst/>
        </a:prstGeom>
        <a:solidFill>
          <a:srgbClr val="F7F3ED"/>
        </a:solidFill>
        <a:ln w="19050">
          <a:solidFill>
            <a:srgbClr val="2E1B1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71120</xdr:colOff>
      <xdr:row>5</xdr:row>
      <xdr:rowOff>121920</xdr:rowOff>
    </xdr:from>
    <xdr:to>
      <xdr:col>25</xdr:col>
      <xdr:colOff>485875</xdr:colOff>
      <xdr:row>9</xdr:row>
      <xdr:rowOff>71163</xdr:rowOff>
    </xdr:to>
    <mc:AlternateContent xmlns:mc="http://schemas.openxmlformats.org/markup-compatibility/2006" xmlns:a14="http://schemas.microsoft.com/office/drawing/2010/main">
      <mc:Choice Requires="a14">
        <xdr:graphicFrame macro="">
          <xdr:nvGraphicFramePr>
            <xdr:cNvPr id="7" name="Roast Type Name 2">
              <a:extLst>
                <a:ext uri="{FF2B5EF4-FFF2-40B4-BE49-F238E27FC236}">
                  <a16:creationId xmlns:a16="http://schemas.microsoft.com/office/drawing/2014/main" id="{CD896884-6F1B-4335-9021-48D9D98DE8E0}"/>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9977120" y="893327"/>
              <a:ext cx="5306607" cy="664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518160</xdr:colOff>
      <xdr:row>10</xdr:row>
      <xdr:rowOff>120869</xdr:rowOff>
    </xdr:from>
    <xdr:to>
      <xdr:col>21</xdr:col>
      <xdr:colOff>254000</xdr:colOff>
      <xdr:row>16</xdr:row>
      <xdr:rowOff>91440</xdr:rowOff>
    </xdr:to>
    <xdr:sp macro="" textlink="">
      <xdr:nvSpPr>
        <xdr:cNvPr id="8" name="Rectangle: Rounded Corners 7">
          <a:extLst>
            <a:ext uri="{FF2B5EF4-FFF2-40B4-BE49-F238E27FC236}">
              <a16:creationId xmlns:a16="http://schemas.microsoft.com/office/drawing/2014/main" id="{42D79998-FE33-480B-BDB8-EA37FB7F7F4A}"/>
            </a:ext>
          </a:extLst>
        </xdr:cNvPr>
        <xdr:cNvSpPr/>
      </xdr:nvSpPr>
      <xdr:spPr>
        <a:xfrm>
          <a:off x="9783029" y="1839310"/>
          <a:ext cx="2783840" cy="1074158"/>
        </a:xfrm>
        <a:prstGeom prst="roundRect">
          <a:avLst/>
        </a:prstGeom>
        <a:solidFill>
          <a:srgbClr val="F7F3ED"/>
        </a:solidFill>
        <a:ln w="19050">
          <a:solidFill>
            <a:srgbClr val="2E1B1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294640</xdr:colOff>
      <xdr:row>10</xdr:row>
      <xdr:rowOff>110359</xdr:rowOff>
    </xdr:from>
    <xdr:to>
      <xdr:col>26</xdr:col>
      <xdr:colOff>10160</xdr:colOff>
      <xdr:row>16</xdr:row>
      <xdr:rowOff>94074</xdr:rowOff>
    </xdr:to>
    <xdr:sp macro="" textlink="">
      <xdr:nvSpPr>
        <xdr:cNvPr id="9" name="Rectangle: Rounded Corners 8">
          <a:extLst>
            <a:ext uri="{FF2B5EF4-FFF2-40B4-BE49-F238E27FC236}">
              <a16:creationId xmlns:a16="http://schemas.microsoft.com/office/drawing/2014/main" id="{D71B0153-60E7-4200-87F6-B0D51DEA7D0D}"/>
            </a:ext>
          </a:extLst>
        </xdr:cNvPr>
        <xdr:cNvSpPr/>
      </xdr:nvSpPr>
      <xdr:spPr>
        <a:xfrm>
          <a:off x="12646566" y="1775470"/>
          <a:ext cx="2772927" cy="1056160"/>
        </a:xfrm>
        <a:prstGeom prst="roundRect">
          <a:avLst/>
        </a:prstGeom>
        <a:solidFill>
          <a:srgbClr val="F7F3ED"/>
        </a:solidFill>
        <a:ln w="19050">
          <a:solidFill>
            <a:srgbClr val="2E1B1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41692</xdr:colOff>
      <xdr:row>11</xdr:row>
      <xdr:rowOff>42392</xdr:rowOff>
    </xdr:from>
    <xdr:to>
      <xdr:col>21</xdr:col>
      <xdr:colOff>136634</xdr:colOff>
      <xdr:row>16</xdr:row>
      <xdr:rowOff>52552</xdr:rowOff>
    </xdr:to>
    <mc:AlternateContent xmlns:mc="http://schemas.openxmlformats.org/markup-compatibility/2006" xmlns:a14="http://schemas.microsoft.com/office/drawing/2010/main">
      <mc:Choice Requires="a14">
        <xdr:graphicFrame macro="">
          <xdr:nvGraphicFramePr>
            <xdr:cNvPr id="10" name="Loyalty Card 2">
              <a:extLst>
                <a:ext uri="{FF2B5EF4-FFF2-40B4-BE49-F238E27FC236}">
                  <a16:creationId xmlns:a16="http://schemas.microsoft.com/office/drawing/2014/main" id="{FBC9D329-527A-465C-AF44-643D070C21EA}"/>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9947692" y="1886244"/>
              <a:ext cx="2540868" cy="903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409902</xdr:colOff>
      <xdr:row>11</xdr:row>
      <xdr:rowOff>36434</xdr:rowOff>
    </xdr:from>
    <xdr:to>
      <xdr:col>25</xdr:col>
      <xdr:colOff>497839</xdr:colOff>
      <xdr:row>16</xdr:row>
      <xdr:rowOff>1046</xdr:rowOff>
    </xdr:to>
    <mc:AlternateContent xmlns:mc="http://schemas.openxmlformats.org/markup-compatibility/2006" xmlns:a14="http://schemas.microsoft.com/office/drawing/2010/main">
      <mc:Choice Requires="a14">
        <xdr:graphicFrame macro="">
          <xdr:nvGraphicFramePr>
            <xdr:cNvPr id="11" name="Size 2">
              <a:extLst>
                <a:ext uri="{FF2B5EF4-FFF2-40B4-BE49-F238E27FC236}">
                  <a16:creationId xmlns:a16="http://schemas.microsoft.com/office/drawing/2014/main" id="{BE1217C0-427F-40B4-98BB-7F4CE9879432}"/>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2761828" y="1880286"/>
              <a:ext cx="2533863" cy="858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111760</xdr:colOff>
      <xdr:row>17</xdr:row>
      <xdr:rowOff>0</xdr:rowOff>
    </xdr:from>
    <xdr:to>
      <xdr:col>14</xdr:col>
      <xdr:colOff>458886</xdr:colOff>
      <xdr:row>34</xdr:row>
      <xdr:rowOff>74980</xdr:rowOff>
    </xdr:to>
    <xdr:graphicFrame macro="">
      <xdr:nvGraphicFramePr>
        <xdr:cNvPr id="12" name="Chart 11">
          <a:extLst>
            <a:ext uri="{FF2B5EF4-FFF2-40B4-BE49-F238E27FC236}">
              <a16:creationId xmlns:a16="http://schemas.microsoft.com/office/drawing/2014/main" id="{CF6CE68E-FA7D-4226-A4ED-F8390534C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551448</xdr:colOff>
      <xdr:row>17</xdr:row>
      <xdr:rowOff>1</xdr:rowOff>
    </xdr:from>
    <xdr:to>
      <xdr:col>25</xdr:col>
      <xdr:colOff>564002</xdr:colOff>
      <xdr:row>25</xdr:row>
      <xdr:rowOff>82379</xdr:rowOff>
    </xdr:to>
    <xdr:graphicFrame macro="">
      <xdr:nvGraphicFramePr>
        <xdr:cNvPr id="13" name="Chart 12">
          <a:extLst>
            <a:ext uri="{FF2B5EF4-FFF2-40B4-BE49-F238E27FC236}">
              <a16:creationId xmlns:a16="http://schemas.microsoft.com/office/drawing/2014/main" id="{1E2AAE3B-64E0-433D-8C62-19FBCA5F4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548439</xdr:colOff>
      <xdr:row>25</xdr:row>
      <xdr:rowOff>124777</xdr:rowOff>
    </xdr:from>
    <xdr:to>
      <xdr:col>25</xdr:col>
      <xdr:colOff>571500</xdr:colOff>
      <xdr:row>34</xdr:row>
      <xdr:rowOff>83128</xdr:rowOff>
    </xdr:to>
    <xdr:graphicFrame macro="">
      <xdr:nvGraphicFramePr>
        <xdr:cNvPr id="14" name="Chart 13">
          <a:extLst>
            <a:ext uri="{FF2B5EF4-FFF2-40B4-BE49-F238E27FC236}">
              <a16:creationId xmlns:a16="http://schemas.microsoft.com/office/drawing/2014/main" id="{A5962628-56D5-40B3-B938-12D39DBEF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27216</xdr:colOff>
      <xdr:row>0</xdr:row>
      <xdr:rowOff>36394</xdr:rowOff>
    </xdr:from>
    <xdr:to>
      <xdr:col>22</xdr:col>
      <xdr:colOff>602075</xdr:colOff>
      <xdr:row>34</xdr:row>
      <xdr:rowOff>65852</xdr:rowOff>
    </xdr:to>
    <xdr:sp macro="" textlink="">
      <xdr:nvSpPr>
        <xdr:cNvPr id="2" name="Rectangle 1">
          <a:extLst>
            <a:ext uri="{FF2B5EF4-FFF2-40B4-BE49-F238E27FC236}">
              <a16:creationId xmlns:a16="http://schemas.microsoft.com/office/drawing/2014/main" id="{128770E2-F92E-484C-9D4D-AC76C8E66953}"/>
            </a:ext>
          </a:extLst>
        </xdr:cNvPr>
        <xdr:cNvSpPr/>
      </xdr:nvSpPr>
      <xdr:spPr>
        <a:xfrm>
          <a:off x="27216" y="36394"/>
          <a:ext cx="14027452" cy="6106643"/>
        </a:xfrm>
        <a:prstGeom prst="rect">
          <a:avLst/>
        </a:prstGeom>
        <a:solidFill>
          <a:srgbClr val="E3BD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7F3ED"/>
            </a:solidFill>
          </a:endParaRPr>
        </a:p>
      </xdr:txBody>
    </xdr:sp>
    <xdr:clientData/>
  </xdr:twoCellAnchor>
  <xdr:twoCellAnchor editAs="oneCell">
    <xdr:from>
      <xdr:col>10</xdr:col>
      <xdr:colOff>468217</xdr:colOff>
      <xdr:row>0</xdr:row>
      <xdr:rowOff>124858</xdr:rowOff>
    </xdr:from>
    <xdr:to>
      <xdr:col>22</xdr:col>
      <xdr:colOff>393932</xdr:colOff>
      <xdr:row>8</xdr:row>
      <xdr:rowOff>55084</xdr:rowOff>
    </xdr:to>
    <mc:AlternateContent xmlns:mc="http://schemas.openxmlformats.org/markup-compatibility/2006">
      <mc:Choice xmlns:tsle="http://schemas.microsoft.com/office/drawing/2012/timeslicer" Requires="tsle">
        <xdr:graphicFrame macro="">
          <xdr:nvGraphicFramePr>
            <xdr:cNvPr id="3" name="Order Date 3">
              <a:extLst>
                <a:ext uri="{FF2B5EF4-FFF2-40B4-BE49-F238E27FC236}">
                  <a16:creationId xmlns:a16="http://schemas.microsoft.com/office/drawing/2014/main" id="{0E662D10-BB03-40F4-8418-5859B175766E}"/>
                </a:ext>
              </a:extLst>
            </xdr:cNvPr>
            <xdr:cNvGraphicFramePr/>
          </xdr:nvGraphicFramePr>
          <xdr:xfrm>
            <a:off x="0" y="0"/>
            <a:ext cx="0" cy="0"/>
          </xdr:xfrm>
          <a:graphic>
            <a:graphicData uri="http://schemas.microsoft.com/office/drawing/2012/timeslicer">
              <tsle:timeslicer xmlns:tsle="http://schemas.microsoft.com/office/drawing/2012/timeslicer" name="Order Date 3"/>
            </a:graphicData>
          </a:graphic>
        </xdr:graphicFrame>
      </mc:Choice>
      <mc:Fallback>
        <xdr:sp macro="" textlink="">
          <xdr:nvSpPr>
            <xdr:cNvPr id="0" name=""/>
            <xdr:cNvSpPr>
              <a:spLocks noTextEdit="1"/>
            </xdr:cNvSpPr>
          </xdr:nvSpPr>
          <xdr:spPr>
            <a:xfrm>
              <a:off x="6583032" y="124858"/>
              <a:ext cx="7263493" cy="13601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449854</xdr:colOff>
      <xdr:row>3</xdr:row>
      <xdr:rowOff>64267</xdr:rowOff>
    </xdr:from>
    <xdr:to>
      <xdr:col>10</xdr:col>
      <xdr:colOff>449854</xdr:colOff>
      <xdr:row>6</xdr:row>
      <xdr:rowOff>91808</xdr:rowOff>
    </xdr:to>
    <xdr:sp macro="" textlink="">
      <xdr:nvSpPr>
        <xdr:cNvPr id="6" name="TextBox 5">
          <a:extLst>
            <a:ext uri="{FF2B5EF4-FFF2-40B4-BE49-F238E27FC236}">
              <a16:creationId xmlns:a16="http://schemas.microsoft.com/office/drawing/2014/main" id="{FE097099-F0A6-2E02-DC22-400D024CFAAB}"/>
            </a:ext>
          </a:extLst>
        </xdr:cNvPr>
        <xdr:cNvSpPr txBox="1"/>
      </xdr:nvSpPr>
      <xdr:spPr>
        <a:xfrm>
          <a:off x="2267637" y="615110"/>
          <a:ext cx="4241494" cy="578385"/>
        </a:xfrm>
        <a:prstGeom prst="rect">
          <a:avLst/>
        </a:prstGeom>
        <a:solidFill>
          <a:srgbClr val="E3BDA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500" b="1"/>
            <a:t>Coffee </a:t>
          </a:r>
          <a:r>
            <a:rPr lang="en-IN" sz="3300" b="1"/>
            <a:t>Sales</a:t>
          </a:r>
          <a:r>
            <a:rPr lang="en-IN" sz="3500" b="1"/>
            <a:t> </a:t>
          </a:r>
          <a:r>
            <a:rPr lang="en-IN" sz="3000">
              <a:solidFill>
                <a:schemeClr val="tx1">
                  <a:lumMod val="50000"/>
                  <a:lumOff val="50000"/>
                </a:schemeClr>
              </a:solidFill>
            </a:rPr>
            <a:t>Dashboard</a:t>
          </a:r>
        </a:p>
      </xdr:txBody>
    </xdr:sp>
    <xdr:clientData/>
  </xdr:twoCellAnchor>
  <xdr:twoCellAnchor>
    <xdr:from>
      <xdr:col>3</xdr:col>
      <xdr:colOff>341677</xdr:colOff>
      <xdr:row>13</xdr:row>
      <xdr:rowOff>38141</xdr:rowOff>
    </xdr:from>
    <xdr:to>
      <xdr:col>14</xdr:col>
      <xdr:colOff>496773</xdr:colOff>
      <xdr:row>23</xdr:row>
      <xdr:rowOff>66261</xdr:rowOff>
    </xdr:to>
    <xdr:graphicFrame macro="">
      <xdr:nvGraphicFramePr>
        <xdr:cNvPr id="8" name="Chart 7">
          <a:extLst>
            <a:ext uri="{FF2B5EF4-FFF2-40B4-BE49-F238E27FC236}">
              <a16:creationId xmlns:a16="http://schemas.microsoft.com/office/drawing/2014/main" id="{64567863-75BA-4CF1-8130-991B2B95B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571744</xdr:colOff>
      <xdr:row>13</xdr:row>
      <xdr:rowOff>42318</xdr:rowOff>
    </xdr:from>
    <xdr:to>
      <xdr:col>22</xdr:col>
      <xdr:colOff>536613</xdr:colOff>
      <xdr:row>23</xdr:row>
      <xdr:rowOff>69327</xdr:rowOff>
    </xdr:to>
    <xdr:graphicFrame macro="">
      <xdr:nvGraphicFramePr>
        <xdr:cNvPr id="9" name="Chart 8">
          <a:extLst>
            <a:ext uri="{FF2B5EF4-FFF2-40B4-BE49-F238E27FC236}">
              <a16:creationId xmlns:a16="http://schemas.microsoft.com/office/drawing/2014/main" id="{8E4E5415-3B1E-4AF9-849B-F4BD3E8AE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571542</xdr:colOff>
      <xdr:row>23</xdr:row>
      <xdr:rowOff>118491</xdr:rowOff>
    </xdr:from>
    <xdr:to>
      <xdr:col>22</xdr:col>
      <xdr:colOff>536411</xdr:colOff>
      <xdr:row>33</xdr:row>
      <xdr:rowOff>145500</xdr:rowOff>
    </xdr:to>
    <xdr:graphicFrame macro="">
      <xdr:nvGraphicFramePr>
        <xdr:cNvPr id="10" name="Chart 9">
          <a:extLst>
            <a:ext uri="{FF2B5EF4-FFF2-40B4-BE49-F238E27FC236}">
              <a16:creationId xmlns:a16="http://schemas.microsoft.com/office/drawing/2014/main" id="{F38EB910-2A00-46E4-84DE-0121F7CC6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200142</xdr:colOff>
      <xdr:row>21</xdr:row>
      <xdr:rowOff>159537</xdr:rowOff>
    </xdr:from>
    <xdr:to>
      <xdr:col>3</xdr:col>
      <xdr:colOff>212785</xdr:colOff>
      <xdr:row>26</xdr:row>
      <xdr:rowOff>158056</xdr:rowOff>
    </xdr:to>
    <mc:AlternateContent xmlns:mc="http://schemas.openxmlformats.org/markup-compatibility/2006">
      <mc:Choice xmlns:a14="http://schemas.microsoft.com/office/drawing/2010/main" Requires="a14">
        <xdr:graphicFrame macro="">
          <xdr:nvGraphicFramePr>
            <xdr:cNvPr id="11" name="Loyalty Card 3">
              <a:extLst>
                <a:ext uri="{FF2B5EF4-FFF2-40B4-BE49-F238E27FC236}">
                  <a16:creationId xmlns:a16="http://schemas.microsoft.com/office/drawing/2014/main" id="{82FC5FD1-0524-4D9E-94F5-964A2B4D3B12}"/>
                </a:ext>
              </a:extLst>
            </xdr:cNvPr>
            <xdr:cNvGraphicFramePr/>
          </xdr:nvGraphicFramePr>
          <xdr:xfrm>
            <a:off x="0" y="0"/>
            <a:ext cx="0" cy="0"/>
          </xdr:xfrm>
          <a:graphic>
            <a:graphicData uri="http://schemas.microsoft.com/office/drawing/2010/slicer">
              <sle:slicer xmlns:sle="http://schemas.microsoft.com/office/drawing/2010/slicer" name="Loyalty Card 3"/>
            </a:graphicData>
          </a:graphic>
        </xdr:graphicFrame>
      </mc:Choice>
      <mc:Fallback>
        <xdr:sp macro="" textlink="">
          <xdr:nvSpPr>
            <xdr:cNvPr id="0" name=""/>
            <xdr:cNvSpPr>
              <a:spLocks noTextEdit="1"/>
            </xdr:cNvSpPr>
          </xdr:nvSpPr>
          <xdr:spPr>
            <a:xfrm>
              <a:off x="200142" y="3913093"/>
              <a:ext cx="1847087" cy="892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200141</xdr:colOff>
      <xdr:row>26</xdr:row>
      <xdr:rowOff>165061</xdr:rowOff>
    </xdr:from>
    <xdr:to>
      <xdr:col>3</xdr:col>
      <xdr:colOff>212784</xdr:colOff>
      <xdr:row>33</xdr:row>
      <xdr:rowOff>73254</xdr:rowOff>
    </xdr:to>
    <mc:AlternateContent xmlns:mc="http://schemas.openxmlformats.org/markup-compatibility/2006">
      <mc:Choice xmlns:a14="http://schemas.microsoft.com/office/drawing/2010/main" Requires="a14">
        <xdr:graphicFrame macro="">
          <xdr:nvGraphicFramePr>
            <xdr:cNvPr id="12" name="Roast Type Name 3">
              <a:extLst>
                <a:ext uri="{FF2B5EF4-FFF2-40B4-BE49-F238E27FC236}">
                  <a16:creationId xmlns:a16="http://schemas.microsoft.com/office/drawing/2014/main" id="{3739BAEF-BDE8-4C1F-81EF-9F589D80E93B}"/>
                </a:ext>
              </a:extLst>
            </xdr:cNvPr>
            <xdr:cNvGraphicFramePr/>
          </xdr:nvGraphicFramePr>
          <xdr:xfrm>
            <a:off x="0" y="0"/>
            <a:ext cx="0" cy="0"/>
          </xdr:xfrm>
          <a:graphic>
            <a:graphicData uri="http://schemas.microsoft.com/office/drawing/2010/slicer">
              <sle:slicer xmlns:sle="http://schemas.microsoft.com/office/drawing/2010/slicer" name="Roast Type Name 3"/>
            </a:graphicData>
          </a:graphic>
        </xdr:graphicFrame>
      </mc:Choice>
      <mc:Fallback>
        <xdr:sp macro="" textlink="">
          <xdr:nvSpPr>
            <xdr:cNvPr id="0" name=""/>
            <xdr:cNvSpPr>
              <a:spLocks noTextEdit="1"/>
            </xdr:cNvSpPr>
          </xdr:nvSpPr>
          <xdr:spPr>
            <a:xfrm>
              <a:off x="200141" y="4812320"/>
              <a:ext cx="1847087" cy="1159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204316</xdr:colOff>
      <xdr:row>16</xdr:row>
      <xdr:rowOff>122778</xdr:rowOff>
    </xdr:from>
    <xdr:to>
      <xdr:col>3</xdr:col>
      <xdr:colOff>216959</xdr:colOff>
      <xdr:row>21</xdr:row>
      <xdr:rowOff>152400</xdr:rowOff>
    </xdr:to>
    <mc:AlternateContent xmlns:mc="http://schemas.openxmlformats.org/markup-compatibility/2006">
      <mc:Choice xmlns:a14="http://schemas.microsoft.com/office/drawing/2010/main" Requires="a14">
        <xdr:graphicFrame macro="">
          <xdr:nvGraphicFramePr>
            <xdr:cNvPr id="13" name="Size 3">
              <a:extLst>
                <a:ext uri="{FF2B5EF4-FFF2-40B4-BE49-F238E27FC236}">
                  <a16:creationId xmlns:a16="http://schemas.microsoft.com/office/drawing/2014/main" id="{6A895EDF-2CAF-44B1-9FA7-0DE70343BC84}"/>
                </a:ext>
              </a:extLst>
            </xdr:cNvPr>
            <xdr:cNvGraphicFramePr/>
          </xdr:nvGraphicFramePr>
          <xdr:xfrm>
            <a:off x="0" y="0"/>
            <a:ext cx="0" cy="0"/>
          </xdr:xfrm>
          <a:graphic>
            <a:graphicData uri="http://schemas.microsoft.com/office/drawing/2010/slicer">
              <sle:slicer xmlns:sle="http://schemas.microsoft.com/office/drawing/2010/slicer" name="Size 3"/>
            </a:graphicData>
          </a:graphic>
        </xdr:graphicFrame>
      </mc:Choice>
      <mc:Fallback>
        <xdr:sp macro="" textlink="">
          <xdr:nvSpPr>
            <xdr:cNvPr id="0" name=""/>
            <xdr:cNvSpPr>
              <a:spLocks noTextEdit="1"/>
            </xdr:cNvSpPr>
          </xdr:nvSpPr>
          <xdr:spPr>
            <a:xfrm>
              <a:off x="204316" y="2982630"/>
              <a:ext cx="1847087" cy="923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211155</xdr:colOff>
      <xdr:row>8</xdr:row>
      <xdr:rowOff>131997</xdr:rowOff>
    </xdr:from>
    <xdr:to>
      <xdr:col>3</xdr:col>
      <xdr:colOff>222172</xdr:colOff>
      <xdr:row>16</xdr:row>
      <xdr:rowOff>121534</xdr:rowOff>
    </xdr:to>
    <mc:AlternateContent xmlns:mc="http://schemas.openxmlformats.org/markup-compatibility/2006">
      <mc:Choice xmlns:a14="http://schemas.microsoft.com/office/drawing/2010/main" Requires="a14">
        <xdr:graphicFrame macro="">
          <xdr:nvGraphicFramePr>
            <xdr:cNvPr id="16" name="Coffee Type Name 1">
              <a:extLst>
                <a:ext uri="{FF2B5EF4-FFF2-40B4-BE49-F238E27FC236}">
                  <a16:creationId xmlns:a16="http://schemas.microsoft.com/office/drawing/2014/main" id="{7E46AFB3-DE01-4942-B651-79E88BA723A5}"/>
                </a:ext>
              </a:extLst>
            </xdr:cNvPr>
            <xdr:cNvGraphicFramePr/>
          </xdr:nvGraphicFramePr>
          <xdr:xfrm>
            <a:off x="0" y="0"/>
            <a:ext cx="0" cy="0"/>
          </xdr:xfrm>
          <a:graphic>
            <a:graphicData uri="http://schemas.microsoft.com/office/drawing/2010/slicer">
              <sle:slicer xmlns:sle="http://schemas.microsoft.com/office/drawing/2010/slicer" name="Coffee Type Name 1"/>
            </a:graphicData>
          </a:graphic>
        </xdr:graphicFrame>
      </mc:Choice>
      <mc:Fallback>
        <xdr:sp macro="" textlink="">
          <xdr:nvSpPr>
            <xdr:cNvPr id="0" name=""/>
            <xdr:cNvSpPr>
              <a:spLocks noTextEdit="1"/>
            </xdr:cNvSpPr>
          </xdr:nvSpPr>
          <xdr:spPr>
            <a:xfrm>
              <a:off x="211155" y="1561923"/>
              <a:ext cx="1845461" cy="141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335961</xdr:colOff>
      <xdr:row>23</xdr:row>
      <xdr:rowOff>111900</xdr:rowOff>
    </xdr:from>
    <xdr:to>
      <xdr:col>14</xdr:col>
      <xdr:colOff>491057</xdr:colOff>
      <xdr:row>33</xdr:row>
      <xdr:rowOff>138909</xdr:rowOff>
    </xdr:to>
    <xdr:graphicFrame macro="">
      <xdr:nvGraphicFramePr>
        <xdr:cNvPr id="18" name="Chart 17">
          <a:extLst>
            <a:ext uri="{FF2B5EF4-FFF2-40B4-BE49-F238E27FC236}">
              <a16:creationId xmlns:a16="http://schemas.microsoft.com/office/drawing/2014/main" id="{B86E4EAD-FDB6-4C4B-949D-7D24394D4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229519</xdr:colOff>
      <xdr:row>0</xdr:row>
      <xdr:rowOff>0</xdr:rowOff>
    </xdr:from>
    <xdr:to>
      <xdr:col>3</xdr:col>
      <xdr:colOff>209963</xdr:colOff>
      <xdr:row>8</xdr:row>
      <xdr:rowOff>174433</xdr:rowOff>
    </xdr:to>
    <xdr:pic>
      <xdr:nvPicPr>
        <xdr:cNvPr id="20" name="Picture 19">
          <a:extLst>
            <a:ext uri="{FF2B5EF4-FFF2-40B4-BE49-F238E27FC236}">
              <a16:creationId xmlns:a16="http://schemas.microsoft.com/office/drawing/2014/main" id="{5DB36316-7290-33B9-1603-FD109226352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9519" y="0"/>
          <a:ext cx="1798227" cy="1643349"/>
        </a:xfrm>
        <a:prstGeom prst="rect">
          <a:avLst/>
        </a:prstGeom>
      </xdr:spPr>
    </xdr:pic>
    <xdr:clientData/>
  </xdr:twoCellAnchor>
  <xdr:twoCellAnchor>
    <xdr:from>
      <xdr:col>3</xdr:col>
      <xdr:colOff>348119</xdr:colOff>
      <xdr:row>8</xdr:row>
      <xdr:rowOff>129538</xdr:rowOff>
    </xdr:from>
    <xdr:to>
      <xdr:col>9</xdr:col>
      <xdr:colOff>290520</xdr:colOff>
      <xdr:row>12</xdr:row>
      <xdr:rowOff>129600</xdr:rowOff>
    </xdr:to>
    <xdr:sp macro="" textlink="">
      <xdr:nvSpPr>
        <xdr:cNvPr id="21" name="Rectangle: Rounded Corners 20">
          <a:extLst>
            <a:ext uri="{FF2B5EF4-FFF2-40B4-BE49-F238E27FC236}">
              <a16:creationId xmlns:a16="http://schemas.microsoft.com/office/drawing/2014/main" id="{A5032B4A-BD09-4ABF-C2CB-442098B89380}"/>
            </a:ext>
          </a:extLst>
        </xdr:cNvPr>
        <xdr:cNvSpPr/>
      </xdr:nvSpPr>
      <xdr:spPr>
        <a:xfrm>
          <a:off x="2176919" y="1619671"/>
          <a:ext cx="3600001" cy="745129"/>
        </a:xfrm>
        <a:prstGeom prst="roundRect">
          <a:avLst/>
        </a:prstGeom>
        <a:solidFill>
          <a:srgbClr val="EBD9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443540</xdr:colOff>
      <xdr:row>8</xdr:row>
      <xdr:rowOff>133412</xdr:rowOff>
    </xdr:from>
    <xdr:to>
      <xdr:col>7</xdr:col>
      <xdr:colOff>586154</xdr:colOff>
      <xdr:row>10</xdr:row>
      <xdr:rowOff>59515</xdr:rowOff>
    </xdr:to>
    <xdr:sp macro="" textlink="">
      <xdr:nvSpPr>
        <xdr:cNvPr id="22" name="TextBox 21">
          <a:extLst>
            <a:ext uri="{FF2B5EF4-FFF2-40B4-BE49-F238E27FC236}">
              <a16:creationId xmlns:a16="http://schemas.microsoft.com/office/drawing/2014/main" id="{B912A4EF-15E1-59DA-CE34-9ABA8A76470C}"/>
            </a:ext>
          </a:extLst>
        </xdr:cNvPr>
        <xdr:cNvSpPr txBox="1"/>
      </xdr:nvSpPr>
      <xdr:spPr>
        <a:xfrm>
          <a:off x="2277364" y="1607170"/>
          <a:ext cx="2587713" cy="294543"/>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i="0" baseline="0">
              <a:solidFill>
                <a:schemeClr val="dk1"/>
              </a:solidFill>
              <a:effectLst/>
              <a:latin typeface="+mn-lt"/>
              <a:ea typeface="+mn-ea"/>
              <a:cs typeface="+mn-cs"/>
            </a:rPr>
            <a:t>Total Sales</a:t>
          </a:r>
          <a:endParaRPr lang="en-IN" sz="1500"/>
        </a:p>
      </xdr:txBody>
    </xdr:sp>
    <xdr:clientData/>
  </xdr:twoCellAnchor>
  <xdr:twoCellAnchor>
    <xdr:from>
      <xdr:col>4</xdr:col>
      <xdr:colOff>144890</xdr:colOff>
      <xdr:row>10</xdr:row>
      <xdr:rowOff>144900</xdr:rowOff>
    </xdr:from>
    <xdr:to>
      <xdr:col>6</xdr:col>
      <xdr:colOff>16361</xdr:colOff>
      <xdr:row>12</xdr:row>
      <xdr:rowOff>66989</xdr:rowOff>
    </xdr:to>
    <xdr:sp macro="" textlink="KPI!B2">
      <xdr:nvSpPr>
        <xdr:cNvPr id="23" name="TextBox 22">
          <a:extLst>
            <a:ext uri="{FF2B5EF4-FFF2-40B4-BE49-F238E27FC236}">
              <a16:creationId xmlns:a16="http://schemas.microsoft.com/office/drawing/2014/main" id="{F5E8B730-8829-B37E-17EC-C67839F8A0C5}"/>
            </a:ext>
          </a:extLst>
        </xdr:cNvPr>
        <xdr:cNvSpPr txBox="1"/>
      </xdr:nvSpPr>
      <xdr:spPr>
        <a:xfrm>
          <a:off x="2589989" y="1987098"/>
          <a:ext cx="1094020" cy="290528"/>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CE511B-67F7-4ED4-A5A7-E760C1BB7172}" type="TxLink">
            <a:rPr lang="en-US" sz="1500" b="1" i="0" u="none" strike="noStrike">
              <a:solidFill>
                <a:schemeClr val="tx1"/>
              </a:solidFill>
              <a:latin typeface="Calibri"/>
              <a:ea typeface="Calibri"/>
              <a:cs typeface="Calibri"/>
            </a:rPr>
            <a:t>$45,134.26</a:t>
          </a:fld>
          <a:endParaRPr lang="en-IN" sz="1500" b="1">
            <a:solidFill>
              <a:schemeClr val="tx1"/>
            </a:solidFill>
          </a:endParaRPr>
        </a:p>
      </xdr:txBody>
    </xdr:sp>
    <xdr:clientData/>
  </xdr:twoCellAnchor>
  <xdr:twoCellAnchor>
    <xdr:from>
      <xdr:col>8</xdr:col>
      <xdr:colOff>105187</xdr:colOff>
      <xdr:row>10</xdr:row>
      <xdr:rowOff>120901</xdr:rowOff>
    </xdr:from>
    <xdr:to>
      <xdr:col>9</xdr:col>
      <xdr:colOff>216371</xdr:colOff>
      <xdr:row>12</xdr:row>
      <xdr:rowOff>94073</xdr:rowOff>
    </xdr:to>
    <xdr:sp macro="" textlink="KPI!B5">
      <xdr:nvSpPr>
        <xdr:cNvPr id="28" name="TextBox 27">
          <a:extLst>
            <a:ext uri="{FF2B5EF4-FFF2-40B4-BE49-F238E27FC236}">
              <a16:creationId xmlns:a16="http://schemas.microsoft.com/office/drawing/2014/main" id="{D644744D-4254-CB91-78AA-7AD0A14C8ABB}"/>
            </a:ext>
          </a:extLst>
        </xdr:cNvPr>
        <xdr:cNvSpPr txBox="1"/>
      </xdr:nvSpPr>
      <xdr:spPr>
        <a:xfrm>
          <a:off x="4997039" y="1908308"/>
          <a:ext cx="722665" cy="330654"/>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B17421-3369-4A53-A809-06F9C646AA3A}" type="TxLink">
            <a:rPr lang="en-US" sz="1500" b="1" i="0" u="none" strike="noStrike">
              <a:solidFill>
                <a:srgbClr val="C9A24A"/>
              </a:solidFill>
              <a:latin typeface="Calibri"/>
              <a:ea typeface="Calibri"/>
              <a:cs typeface="Calibri"/>
            </a:rPr>
            <a:t>$12.71</a:t>
          </a:fld>
          <a:endParaRPr lang="en-IN" sz="1500" b="1">
            <a:solidFill>
              <a:srgbClr val="C9A24A"/>
            </a:solidFill>
          </a:endParaRPr>
        </a:p>
      </xdr:txBody>
    </xdr:sp>
    <xdr:clientData/>
  </xdr:twoCellAnchor>
  <xdr:twoCellAnchor>
    <xdr:from>
      <xdr:col>10</xdr:col>
      <xdr:colOff>160872</xdr:colOff>
      <xdr:row>8</xdr:row>
      <xdr:rowOff>131480</xdr:rowOff>
    </xdr:from>
    <xdr:to>
      <xdr:col>16</xdr:col>
      <xdr:colOff>103273</xdr:colOff>
      <xdr:row>12</xdr:row>
      <xdr:rowOff>131542</xdr:rowOff>
    </xdr:to>
    <xdr:sp macro="" textlink="">
      <xdr:nvSpPr>
        <xdr:cNvPr id="40" name="Rectangle: Rounded Corners 39">
          <a:extLst>
            <a:ext uri="{FF2B5EF4-FFF2-40B4-BE49-F238E27FC236}">
              <a16:creationId xmlns:a16="http://schemas.microsoft.com/office/drawing/2014/main" id="{6B16DC12-A42B-4E6A-8F95-F4E0ABD85A2C}"/>
            </a:ext>
          </a:extLst>
        </xdr:cNvPr>
        <xdr:cNvSpPr/>
      </xdr:nvSpPr>
      <xdr:spPr>
        <a:xfrm>
          <a:off x="6256872" y="1621613"/>
          <a:ext cx="3600001" cy="745129"/>
        </a:xfrm>
        <a:prstGeom prst="roundRect">
          <a:avLst/>
        </a:prstGeom>
        <a:solidFill>
          <a:srgbClr val="EBD9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583226</xdr:colOff>
      <xdr:row>8</xdr:row>
      <xdr:rowOff>129522</xdr:rowOff>
    </xdr:from>
    <xdr:to>
      <xdr:col>22</xdr:col>
      <xdr:colOff>525627</xdr:colOff>
      <xdr:row>12</xdr:row>
      <xdr:rowOff>129584</xdr:rowOff>
    </xdr:to>
    <xdr:sp macro="" textlink="">
      <xdr:nvSpPr>
        <xdr:cNvPr id="41" name="Rectangle: Rounded Corners 40">
          <a:extLst>
            <a:ext uri="{FF2B5EF4-FFF2-40B4-BE49-F238E27FC236}">
              <a16:creationId xmlns:a16="http://schemas.microsoft.com/office/drawing/2014/main" id="{30016E2C-DF33-4FCE-B328-441754FCFE2B}"/>
            </a:ext>
          </a:extLst>
        </xdr:cNvPr>
        <xdr:cNvSpPr/>
      </xdr:nvSpPr>
      <xdr:spPr>
        <a:xfrm>
          <a:off x="10336826" y="1619655"/>
          <a:ext cx="3600001" cy="745129"/>
        </a:xfrm>
        <a:prstGeom prst="roundRect">
          <a:avLst/>
        </a:prstGeom>
        <a:solidFill>
          <a:srgbClr val="EBD9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267814</xdr:colOff>
      <xdr:row>8</xdr:row>
      <xdr:rowOff>136552</xdr:rowOff>
    </xdr:from>
    <xdr:to>
      <xdr:col>14</xdr:col>
      <xdr:colOff>169333</xdr:colOff>
      <xdr:row>10</xdr:row>
      <xdr:rowOff>9408</xdr:rowOff>
    </xdr:to>
    <xdr:sp macro="" textlink="">
      <xdr:nvSpPr>
        <xdr:cNvPr id="42" name="TextBox 41">
          <a:extLst>
            <a:ext uri="{FF2B5EF4-FFF2-40B4-BE49-F238E27FC236}">
              <a16:creationId xmlns:a16="http://schemas.microsoft.com/office/drawing/2014/main" id="{DC838E54-42C8-4509-8EA7-117AD7A98688}"/>
            </a:ext>
          </a:extLst>
        </xdr:cNvPr>
        <xdr:cNvSpPr txBox="1"/>
      </xdr:nvSpPr>
      <xdr:spPr>
        <a:xfrm>
          <a:off x="6382629" y="1566478"/>
          <a:ext cx="2347445" cy="230337"/>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i="0" baseline="0">
              <a:solidFill>
                <a:schemeClr val="dk1"/>
              </a:solidFill>
              <a:effectLst/>
              <a:latin typeface="+mn-lt"/>
              <a:ea typeface="+mn-ea"/>
              <a:cs typeface="+mn-cs"/>
            </a:rPr>
            <a:t>Total Quantity</a:t>
          </a:r>
          <a:endParaRPr lang="en-IN" sz="1500"/>
        </a:p>
      </xdr:txBody>
    </xdr:sp>
    <xdr:clientData/>
  </xdr:twoCellAnchor>
  <xdr:twoCellAnchor>
    <xdr:from>
      <xdr:col>17</xdr:col>
      <xdr:colOff>75175</xdr:colOff>
      <xdr:row>8</xdr:row>
      <xdr:rowOff>133654</xdr:rowOff>
    </xdr:from>
    <xdr:to>
      <xdr:col>20</xdr:col>
      <xdr:colOff>498592</xdr:colOff>
      <xdr:row>10</xdr:row>
      <xdr:rowOff>0</xdr:rowOff>
    </xdr:to>
    <xdr:sp macro="" textlink="">
      <xdr:nvSpPr>
        <xdr:cNvPr id="43" name="TextBox 42">
          <a:extLst>
            <a:ext uri="{FF2B5EF4-FFF2-40B4-BE49-F238E27FC236}">
              <a16:creationId xmlns:a16="http://schemas.microsoft.com/office/drawing/2014/main" id="{BE192394-281B-4553-AD6B-4ECE499AFD18}"/>
            </a:ext>
          </a:extLst>
        </xdr:cNvPr>
        <xdr:cNvSpPr txBox="1"/>
      </xdr:nvSpPr>
      <xdr:spPr>
        <a:xfrm>
          <a:off x="10470360" y="1563580"/>
          <a:ext cx="2257862" cy="223827"/>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i="0" baseline="0">
              <a:solidFill>
                <a:schemeClr val="dk1"/>
              </a:solidFill>
              <a:effectLst/>
              <a:latin typeface="+mn-lt"/>
              <a:ea typeface="+mn-ea"/>
              <a:cs typeface="+mn-cs"/>
            </a:rPr>
            <a:t>No of Customers</a:t>
          </a:r>
          <a:endParaRPr lang="en-IN" sz="1500"/>
        </a:p>
      </xdr:txBody>
    </xdr:sp>
    <xdr:clientData/>
  </xdr:twoCellAnchor>
  <xdr:twoCellAnchor>
    <xdr:from>
      <xdr:col>10</xdr:col>
      <xdr:colOff>431723</xdr:colOff>
      <xdr:row>10</xdr:row>
      <xdr:rowOff>121700</xdr:rowOff>
    </xdr:from>
    <xdr:to>
      <xdr:col>12</xdr:col>
      <xdr:colOff>303193</xdr:colOff>
      <xdr:row>12</xdr:row>
      <xdr:rowOff>43789</xdr:rowOff>
    </xdr:to>
    <xdr:sp macro="" textlink="KPI!B3">
      <xdr:nvSpPr>
        <xdr:cNvPr id="45" name="TextBox 44">
          <a:extLst>
            <a:ext uri="{FF2B5EF4-FFF2-40B4-BE49-F238E27FC236}">
              <a16:creationId xmlns:a16="http://schemas.microsoft.com/office/drawing/2014/main" id="{FC9E803B-65E9-4A86-BFFD-63B07D33B2AE}"/>
            </a:ext>
          </a:extLst>
        </xdr:cNvPr>
        <xdr:cNvSpPr txBox="1"/>
      </xdr:nvSpPr>
      <xdr:spPr>
        <a:xfrm>
          <a:off x="6546538" y="1909107"/>
          <a:ext cx="1094433" cy="279571"/>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B588E2-59D8-4ACF-8C9C-096BD3E54BD3}" type="TxLink">
            <a:rPr lang="en-US" sz="1500" b="1" i="0" u="none" strike="noStrike">
              <a:solidFill>
                <a:srgbClr val="000000"/>
              </a:solidFill>
              <a:latin typeface="Calibri"/>
              <a:ea typeface="Calibri"/>
              <a:cs typeface="Calibri"/>
            </a:rPr>
            <a:t>3551</a:t>
          </a:fld>
          <a:endParaRPr lang="en-IN" sz="1500" b="1">
            <a:solidFill>
              <a:schemeClr val="tx1"/>
            </a:solidFill>
          </a:endParaRPr>
        </a:p>
      </xdr:txBody>
    </xdr:sp>
    <xdr:clientData/>
  </xdr:twoCellAnchor>
  <xdr:twoCellAnchor>
    <xdr:from>
      <xdr:col>17</xdr:col>
      <xdr:colOff>200967</xdr:colOff>
      <xdr:row>10</xdr:row>
      <xdr:rowOff>112402</xdr:rowOff>
    </xdr:from>
    <xdr:to>
      <xdr:col>19</xdr:col>
      <xdr:colOff>268801</xdr:colOff>
      <xdr:row>12</xdr:row>
      <xdr:rowOff>34491</xdr:rowOff>
    </xdr:to>
    <xdr:sp macro="" textlink="KPI!B4">
      <xdr:nvSpPr>
        <xdr:cNvPr id="46" name="TextBox 45">
          <a:extLst>
            <a:ext uri="{FF2B5EF4-FFF2-40B4-BE49-F238E27FC236}">
              <a16:creationId xmlns:a16="http://schemas.microsoft.com/office/drawing/2014/main" id="{203FAA96-9504-4B85-BCAC-03DBD8B83446}"/>
            </a:ext>
          </a:extLst>
        </xdr:cNvPr>
        <xdr:cNvSpPr txBox="1"/>
      </xdr:nvSpPr>
      <xdr:spPr>
        <a:xfrm>
          <a:off x="10592637" y="1954600"/>
          <a:ext cx="1290384" cy="290528"/>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00F44E-448C-49B6-9E44-B8AC39657BAC}" type="TxLink">
            <a:rPr lang="en-US" sz="1500" b="1" i="0" u="none" strike="noStrike">
              <a:solidFill>
                <a:srgbClr val="000000"/>
              </a:solidFill>
              <a:latin typeface="Calibri"/>
              <a:ea typeface="Calibri"/>
              <a:cs typeface="Calibri"/>
            </a:rPr>
            <a:t>1000</a:t>
          </a:fld>
          <a:endParaRPr lang="en-IN" sz="1500" b="1">
            <a:solidFill>
              <a:schemeClr val="tx1"/>
            </a:solidFill>
          </a:endParaRPr>
        </a:p>
      </xdr:txBody>
    </xdr:sp>
    <xdr:clientData/>
  </xdr:twoCellAnchor>
  <xdr:twoCellAnchor>
    <xdr:from>
      <xdr:col>7</xdr:col>
      <xdr:colOff>80912</xdr:colOff>
      <xdr:row>10</xdr:row>
      <xdr:rowOff>123748</xdr:rowOff>
    </xdr:from>
    <xdr:to>
      <xdr:col>8</xdr:col>
      <xdr:colOff>163285</xdr:colOff>
      <xdr:row>12</xdr:row>
      <xdr:rowOff>47840</xdr:rowOff>
    </xdr:to>
    <xdr:sp macro="" textlink="">
      <xdr:nvSpPr>
        <xdr:cNvPr id="47" name="TextBox 46">
          <a:extLst>
            <a:ext uri="{FF2B5EF4-FFF2-40B4-BE49-F238E27FC236}">
              <a16:creationId xmlns:a16="http://schemas.microsoft.com/office/drawing/2014/main" id="{4ABD38F3-0AC0-4957-80D1-9DD44C71D982}"/>
            </a:ext>
          </a:extLst>
        </xdr:cNvPr>
        <xdr:cNvSpPr txBox="1"/>
      </xdr:nvSpPr>
      <xdr:spPr>
        <a:xfrm>
          <a:off x="4341185" y="1954527"/>
          <a:ext cx="690983" cy="290248"/>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i="0" baseline="0">
              <a:solidFill>
                <a:srgbClr val="C9A24A"/>
              </a:solidFill>
              <a:effectLst/>
              <a:latin typeface="+mn-lt"/>
              <a:ea typeface="+mn-ea"/>
              <a:cs typeface="+mn-cs"/>
            </a:rPr>
            <a:t>A</a:t>
          </a:r>
          <a:r>
            <a:rPr lang="en-IN" sz="1300" b="1" i="0" baseline="0">
              <a:solidFill>
                <a:srgbClr val="C9A24A"/>
              </a:solidFill>
              <a:effectLst/>
              <a:latin typeface="+mn-lt"/>
              <a:ea typeface="+mn-ea"/>
              <a:cs typeface="+mn-cs"/>
            </a:rPr>
            <a:t>OV:</a:t>
          </a:r>
          <a:endParaRPr lang="en-IN" sz="1300">
            <a:solidFill>
              <a:srgbClr val="C9A24A"/>
            </a:solidFill>
          </a:endParaRPr>
        </a:p>
      </xdr:txBody>
    </xdr:sp>
    <xdr:clientData/>
  </xdr:twoCellAnchor>
  <xdr:twoCellAnchor>
    <xdr:from>
      <xdr:col>18</xdr:col>
      <xdr:colOff>573851</xdr:colOff>
      <xdr:row>10</xdr:row>
      <xdr:rowOff>94074</xdr:rowOff>
    </xdr:from>
    <xdr:to>
      <xdr:col>21</xdr:col>
      <xdr:colOff>564444</xdr:colOff>
      <xdr:row>12</xdr:row>
      <xdr:rowOff>47037</xdr:rowOff>
    </xdr:to>
    <xdr:sp macro="" textlink="">
      <xdr:nvSpPr>
        <xdr:cNvPr id="48" name="TextBox 47">
          <a:extLst>
            <a:ext uri="{FF2B5EF4-FFF2-40B4-BE49-F238E27FC236}">
              <a16:creationId xmlns:a16="http://schemas.microsoft.com/office/drawing/2014/main" id="{1ED3C289-0EDE-4B8E-B0AD-357BC80562B0}"/>
            </a:ext>
          </a:extLst>
        </xdr:cNvPr>
        <xdr:cNvSpPr txBox="1"/>
      </xdr:nvSpPr>
      <xdr:spPr>
        <a:xfrm>
          <a:off x="11580518" y="1881481"/>
          <a:ext cx="1825037" cy="310445"/>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i="0" baseline="0">
              <a:solidFill>
                <a:srgbClr val="C9A24A"/>
              </a:solidFill>
              <a:effectLst/>
              <a:latin typeface="+mn-lt"/>
              <a:ea typeface="+mn-ea"/>
              <a:cs typeface="+mn-cs"/>
            </a:rPr>
            <a:t>Sales per Customer:</a:t>
          </a:r>
          <a:endParaRPr lang="en-IN" sz="1500">
            <a:solidFill>
              <a:srgbClr val="C9A24A"/>
            </a:solidFill>
          </a:endParaRPr>
        </a:p>
      </xdr:txBody>
    </xdr:sp>
    <xdr:clientData/>
  </xdr:twoCellAnchor>
  <xdr:twoCellAnchor>
    <xdr:from>
      <xdr:col>12</xdr:col>
      <xdr:colOff>131704</xdr:colOff>
      <xdr:row>10</xdr:row>
      <xdr:rowOff>122297</xdr:rowOff>
    </xdr:from>
    <xdr:to>
      <xdr:col>15</xdr:col>
      <xdr:colOff>159926</xdr:colOff>
      <xdr:row>12</xdr:row>
      <xdr:rowOff>56445</xdr:rowOff>
    </xdr:to>
    <xdr:sp macro="" textlink="">
      <xdr:nvSpPr>
        <xdr:cNvPr id="49" name="TextBox 48">
          <a:extLst>
            <a:ext uri="{FF2B5EF4-FFF2-40B4-BE49-F238E27FC236}">
              <a16:creationId xmlns:a16="http://schemas.microsoft.com/office/drawing/2014/main" id="{C0F75414-3BF5-4392-A0B9-9D9A92C25CDB}"/>
            </a:ext>
          </a:extLst>
        </xdr:cNvPr>
        <xdr:cNvSpPr txBox="1"/>
      </xdr:nvSpPr>
      <xdr:spPr>
        <a:xfrm>
          <a:off x="7469482" y="1909704"/>
          <a:ext cx="1862666" cy="291630"/>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i="0" baseline="0">
              <a:solidFill>
                <a:srgbClr val="C9A24A"/>
              </a:solidFill>
              <a:effectLst/>
              <a:latin typeface="+mn-lt"/>
              <a:ea typeface="+mn-ea"/>
              <a:cs typeface="+mn-cs"/>
            </a:rPr>
            <a:t>Avg. Items per Order:</a:t>
          </a:r>
          <a:endParaRPr lang="en-IN" sz="1300">
            <a:solidFill>
              <a:srgbClr val="C9A24A"/>
            </a:solidFill>
          </a:endParaRPr>
        </a:p>
      </xdr:txBody>
    </xdr:sp>
    <xdr:clientData/>
  </xdr:twoCellAnchor>
  <xdr:twoCellAnchor>
    <xdr:from>
      <xdr:col>14</xdr:col>
      <xdr:colOff>602076</xdr:colOff>
      <xdr:row>10</xdr:row>
      <xdr:rowOff>122296</xdr:rowOff>
    </xdr:from>
    <xdr:to>
      <xdr:col>15</xdr:col>
      <xdr:colOff>517409</xdr:colOff>
      <xdr:row>12</xdr:row>
      <xdr:rowOff>95468</xdr:rowOff>
    </xdr:to>
    <xdr:sp macro="" textlink="KPI!B6">
      <xdr:nvSpPr>
        <xdr:cNvPr id="50" name="TextBox 49">
          <a:extLst>
            <a:ext uri="{FF2B5EF4-FFF2-40B4-BE49-F238E27FC236}">
              <a16:creationId xmlns:a16="http://schemas.microsoft.com/office/drawing/2014/main" id="{1C346AD0-E524-4088-A4DE-8EFA36022FEF}"/>
            </a:ext>
          </a:extLst>
        </xdr:cNvPr>
        <xdr:cNvSpPr txBox="1"/>
      </xdr:nvSpPr>
      <xdr:spPr>
        <a:xfrm>
          <a:off x="9162817" y="1909703"/>
          <a:ext cx="526814" cy="330654"/>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49F994-0381-40BD-8341-FD00A199D6D9}" type="TxLink">
            <a:rPr lang="en-US" sz="1300" b="1" i="0" u="none" strike="noStrike">
              <a:solidFill>
                <a:srgbClr val="C9A24A"/>
              </a:solidFill>
              <a:latin typeface="Calibri"/>
              <a:ea typeface="Calibri"/>
              <a:cs typeface="Calibri"/>
            </a:rPr>
            <a:t>3.55</a:t>
          </a:fld>
          <a:endParaRPr lang="en-IN" sz="1300" b="1">
            <a:solidFill>
              <a:srgbClr val="C9A24A"/>
            </a:solidFill>
          </a:endParaRPr>
        </a:p>
      </xdr:txBody>
    </xdr:sp>
    <xdr:clientData/>
  </xdr:twoCellAnchor>
  <xdr:twoCellAnchor>
    <xdr:from>
      <xdr:col>21</xdr:col>
      <xdr:colOff>442149</xdr:colOff>
      <xdr:row>10</xdr:row>
      <xdr:rowOff>112890</xdr:rowOff>
    </xdr:from>
    <xdr:to>
      <xdr:col>22</xdr:col>
      <xdr:colOff>508000</xdr:colOff>
      <xdr:row>12</xdr:row>
      <xdr:rowOff>86062</xdr:rowOff>
    </xdr:to>
    <xdr:sp macro="" textlink="KPI!B7">
      <xdr:nvSpPr>
        <xdr:cNvPr id="51" name="TextBox 50">
          <a:extLst>
            <a:ext uri="{FF2B5EF4-FFF2-40B4-BE49-F238E27FC236}">
              <a16:creationId xmlns:a16="http://schemas.microsoft.com/office/drawing/2014/main" id="{F40025D9-8210-4834-A7B3-DF1B34764CEA}"/>
            </a:ext>
          </a:extLst>
        </xdr:cNvPr>
        <xdr:cNvSpPr txBox="1"/>
      </xdr:nvSpPr>
      <xdr:spPr>
        <a:xfrm>
          <a:off x="13283260" y="1900297"/>
          <a:ext cx="677333" cy="330654"/>
        </a:xfrm>
        <a:prstGeom prst="rect">
          <a:avLst/>
        </a:prstGeom>
        <a:solidFill>
          <a:srgbClr val="EBD9C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A5FCF8-C875-4D11-860E-5D2E853BFD1C}" type="TxLink">
            <a:rPr lang="en-US" sz="1300" b="1" i="0" u="none" strike="noStrike">
              <a:solidFill>
                <a:srgbClr val="C9A24A"/>
              </a:solidFill>
              <a:latin typeface="Calibri"/>
              <a:ea typeface="Calibri"/>
              <a:cs typeface="Calibri"/>
            </a:rPr>
            <a:t>$45.13</a:t>
          </a:fld>
          <a:endParaRPr lang="en-IN" sz="1300" b="1">
            <a:solidFill>
              <a:srgbClr val="C9A24A"/>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Chakravarty" refreshedDate="46270.939524305555" createdVersion="8" refreshedVersion="8" minRefreshableVersion="3" recordCount="1000" xr:uid="{5E5C35BA-7FF0-4621-AA82-0737235C96D9}">
  <cacheSource type="worksheet">
    <worksheetSource name="Table2"/>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7706275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7B8A9F-D6D4-4BF9-B301-F77B8A977AE6}" name="TotalSales"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ales Trend by Coffee Type" fld="12" baseField="15" baseItem="11" numFmtId="168"/>
  </dataFields>
  <formats count="2">
    <format dxfId="2">
      <pivotArea outline="0" fieldPosition="0">
        <references count="3">
          <reference field="13" count="1" selected="0">
            <x v="0"/>
          </reference>
          <reference field="16" count="1" selected="0">
            <x v="1"/>
          </reference>
          <reference field="17" count="1" selected="0">
            <x v="1"/>
          </reference>
        </references>
      </pivotArea>
    </format>
    <format dxfId="3">
      <pivotArea outline="0" collapsedLevelsAreSubtotals="1" fieldPosition="0"/>
    </format>
  </formats>
  <chartFormats count="15">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18" format="16" series="1">
      <pivotArea type="data" outline="0" fieldPosition="0">
        <references count="2">
          <reference field="4294967294" count="1" selected="0">
            <x v="0"/>
          </reference>
          <reference field="13" count="1" selected="0">
            <x v="0"/>
          </reference>
        </references>
      </pivotArea>
    </chartFormat>
    <chartFormat chart="18" format="17" series="1">
      <pivotArea type="data" outline="0" fieldPosition="0">
        <references count="2">
          <reference field="4294967294" count="1" selected="0">
            <x v="0"/>
          </reference>
          <reference field="13" count="1" selected="0">
            <x v="1"/>
          </reference>
        </references>
      </pivotArea>
    </chartFormat>
    <chartFormat chart="18" format="18" series="1">
      <pivotArea type="data" outline="0" fieldPosition="0">
        <references count="2">
          <reference field="4294967294" count="1" selected="0">
            <x v="0"/>
          </reference>
          <reference field="13" count="1" selected="0">
            <x v="2"/>
          </reference>
        </references>
      </pivotArea>
    </chartFormat>
    <chartFormat chart="18" format="19" series="1">
      <pivotArea type="data" outline="0" fieldPosition="0">
        <references count="2">
          <reference field="4294967294" count="1" selected="0">
            <x v="0"/>
          </reference>
          <reference field="13" count="1" selected="0">
            <x v="3"/>
          </reference>
        </references>
      </pivotArea>
    </chartFormat>
    <chartFormat chart="21" format="24" series="1">
      <pivotArea type="data" outline="0" fieldPosition="0">
        <references count="2">
          <reference field="4294967294" count="1" selected="0">
            <x v="0"/>
          </reference>
          <reference field="13" count="1" selected="0">
            <x v="0"/>
          </reference>
        </references>
      </pivotArea>
    </chartFormat>
    <chartFormat chart="21" format="25" series="1">
      <pivotArea type="data" outline="0" fieldPosition="0">
        <references count="2">
          <reference field="4294967294" count="1" selected="0">
            <x v="0"/>
          </reference>
          <reference field="13" count="1" selected="0">
            <x v="1"/>
          </reference>
        </references>
      </pivotArea>
    </chartFormat>
    <chartFormat chart="21" format="26" series="1">
      <pivotArea type="data" outline="0" fieldPosition="0">
        <references count="2">
          <reference field="4294967294" count="1" selected="0">
            <x v="0"/>
          </reference>
          <reference field="13" count="1" selected="0">
            <x v="2"/>
          </reference>
        </references>
      </pivotArea>
    </chartFormat>
    <chartFormat chart="21" format="27" series="1">
      <pivotArea type="data" outline="0" fieldPosition="0">
        <references count="2">
          <reference field="4294967294" count="1" selected="0">
            <x v="0"/>
          </reference>
          <reference field="13" count="1" selected="0">
            <x v="3"/>
          </reference>
        </references>
      </pivotArea>
    </chartFormat>
    <chartFormat chart="21" format="28" series="1">
      <pivotArea type="data" outline="0" fieldPosition="0">
        <references count="1">
          <reference field="4294967294" count="1" selected="0">
            <x v="0"/>
          </reference>
        </references>
      </pivotArea>
    </chartFormat>
    <chartFormat chart="18" format="2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167A90-4965-41BA-A3E7-1FEFE075D44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pivotField showAll="0"/>
    <pivotField showAll="0"/>
    <pivotField numFmtId="166" showAll="0"/>
    <pivotField numFmtId="167" showAll="0"/>
    <pivotField numFmtId="167"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6">
        <item x="0"/>
        <item x="1"/>
        <item x="2"/>
        <item x="3"/>
        <item x="4"/>
        <item x="5"/>
      </items>
    </pivotField>
  </pivotFields>
  <rowFields count="1">
    <field x="14"/>
  </rowFields>
  <rowItems count="4">
    <i>
      <x/>
    </i>
    <i>
      <x v="2"/>
    </i>
    <i>
      <x v="1"/>
    </i>
    <i t="grand">
      <x/>
    </i>
  </rowItems>
  <colItems count="1">
    <i/>
  </colItems>
  <dataFields count="1">
    <dataField name="Sum of Quantity" fld="4"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1"/>
          </reference>
        </references>
      </pivotArea>
    </chartFormat>
    <chartFormat chart="1" format="2">
      <pivotArea type="data" outline="0" fieldPosition="0">
        <references count="2">
          <reference field="4294967294" count="1" selected="0">
            <x v="0"/>
          </reference>
          <reference field="14" count="1" selected="0">
            <x v="2"/>
          </reference>
        </references>
      </pivotArea>
    </chartFormat>
    <chartFormat chart="1" format="3">
      <pivotArea type="data" outline="0" fieldPosition="0">
        <references count="2">
          <reference field="4294967294" count="1" selected="0">
            <x v="0"/>
          </reference>
          <reference field="1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4" count="1" selected="0">
            <x v="0"/>
          </reference>
        </references>
      </pivotArea>
    </chartFormat>
    <chartFormat chart="10" format="10">
      <pivotArea type="data" outline="0" fieldPosition="0">
        <references count="2">
          <reference field="4294967294" count="1" selected="0">
            <x v="0"/>
          </reference>
          <reference field="14" count="1" selected="0">
            <x v="2"/>
          </reference>
        </references>
      </pivotArea>
    </chartFormat>
    <chartFormat chart="10" format="11">
      <pivotArea type="data" outline="0" fieldPosition="0">
        <references count="2">
          <reference field="4294967294" count="1" selected="0">
            <x v="0"/>
          </reference>
          <reference field="1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543238-12CF-4238-9313-34BEAD54E567}" name="TotalSales"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formats count="3">
    <format dxfId="22">
      <pivotArea outline="0" fieldPosition="0">
        <references count="1">
          <reference field="7" count="1" selected="0">
            <x v="1"/>
          </reference>
        </references>
      </pivotArea>
    </format>
    <format dxfId="21">
      <pivotArea dataOnly="0" labelOnly="1" outline="0" axis="axisValues" fieldPosition="0"/>
    </format>
    <format dxfId="20">
      <pivotArea outline="0" collapsedLevelsAreSubtotals="1" fieldPosition="0"/>
    </format>
  </formats>
  <chartFormats count="12">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7" count="1" selected="0">
            <x v="2"/>
          </reference>
        </references>
      </pivotArea>
    </chartFormat>
    <chartFormat chart="15" format="2">
      <pivotArea type="data" outline="0" fieldPosition="0">
        <references count="2">
          <reference field="4294967294" count="1" selected="0">
            <x v="0"/>
          </reference>
          <reference field="7" count="1" selected="0">
            <x v="0"/>
          </reference>
        </references>
      </pivotArea>
    </chartFormat>
    <chartFormat chart="15" format="3">
      <pivotArea type="data" outline="0" fieldPosition="0">
        <references count="2">
          <reference field="4294967294" count="1" selected="0">
            <x v="0"/>
          </reference>
          <reference field="7" count="1" selected="0">
            <x v="1"/>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7" count="1" selected="0">
            <x v="1"/>
          </reference>
        </references>
      </pivotArea>
    </chartFormat>
    <chartFormat chart="23" format="18">
      <pivotArea type="data" outline="0" fieldPosition="0">
        <references count="2">
          <reference field="4294967294" count="1" selected="0">
            <x v="0"/>
          </reference>
          <reference field="7" count="1" selected="0">
            <x v="0"/>
          </reference>
        </references>
      </pivotArea>
    </chartFormat>
    <chartFormat chart="23" format="19">
      <pivotArea type="data" outline="0" fieldPosition="0">
        <references count="2">
          <reference field="4294967294" count="1" selected="0">
            <x v="0"/>
          </reference>
          <reference field="7" count="1" selected="0">
            <x v="2"/>
          </reference>
        </references>
      </pivotArea>
    </chartFormat>
    <chartFormat chart="26" format="24" series="1">
      <pivotArea type="data" outline="0" fieldPosition="0">
        <references count="1">
          <reference field="4294967294" count="1" selected="0">
            <x v="0"/>
          </reference>
        </references>
      </pivotArea>
    </chartFormat>
    <chartFormat chart="26" format="25">
      <pivotArea type="data" outline="0" fieldPosition="0">
        <references count="2">
          <reference field="4294967294" count="1" selected="0">
            <x v="0"/>
          </reference>
          <reference field="7" count="1" selected="0">
            <x v="1"/>
          </reference>
        </references>
      </pivotArea>
    </chartFormat>
    <chartFormat chart="26" format="26">
      <pivotArea type="data" outline="0" fieldPosition="0">
        <references count="2">
          <reference field="4294967294" count="1" selected="0">
            <x v="0"/>
          </reference>
          <reference field="7" count="1" selected="0">
            <x v="0"/>
          </reference>
        </references>
      </pivotArea>
    </chartFormat>
    <chartFormat chart="26" format="27">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507A46-39CA-479E-AA08-8CDA25638AC1}" name="TotalSales"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formats count="2">
    <format dxfId="19">
      <pivotArea dataOnly="0" labelOnly="1" outline="0" axis="axisValues" fieldPosition="0"/>
    </format>
    <format dxfId="18">
      <pivotArea outline="0" collapsedLevelsAreSubtotals="1" fieldPosition="0"/>
    </format>
  </formats>
  <chartFormats count="18">
    <chartFormat chart="11" format="9"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5" count="1" selected="0">
            <x v="125"/>
          </reference>
        </references>
      </pivotArea>
    </chartFormat>
    <chartFormat chart="18" format="9">
      <pivotArea type="data" outline="0" fieldPosition="0">
        <references count="2">
          <reference field="4294967294" count="1" selected="0">
            <x v="0"/>
          </reference>
          <reference field="5" count="1" selected="0">
            <x v="831"/>
          </reference>
        </references>
      </pivotArea>
    </chartFormat>
    <chartFormat chart="18" format="10">
      <pivotArea type="data" outline="0" fieldPosition="0">
        <references count="2">
          <reference field="4294967294" count="1" selected="0">
            <x v="0"/>
          </reference>
          <reference field="5" count="1" selected="0">
            <x v="646"/>
          </reference>
        </references>
      </pivotArea>
    </chartFormat>
    <chartFormat chart="18" format="11">
      <pivotArea type="data" outline="0" fieldPosition="0">
        <references count="2">
          <reference field="4294967294" count="1" selected="0">
            <x v="0"/>
          </reference>
          <reference field="5" count="1" selected="0">
            <x v="255"/>
          </reference>
        </references>
      </pivotArea>
    </chartFormat>
    <chartFormat chart="25" format="27" series="1">
      <pivotArea type="data" outline="0" fieldPosition="0">
        <references count="1">
          <reference field="4294967294" count="1" selected="0">
            <x v="0"/>
          </reference>
        </references>
      </pivotArea>
    </chartFormat>
    <chartFormat chart="25" format="28">
      <pivotArea type="data" outline="0" fieldPosition="0">
        <references count="2">
          <reference field="4294967294" count="1" selected="0">
            <x v="0"/>
          </reference>
          <reference field="5" count="1" selected="0">
            <x v="255"/>
          </reference>
        </references>
      </pivotArea>
    </chartFormat>
    <chartFormat chart="25" format="29">
      <pivotArea type="data" outline="0" fieldPosition="0">
        <references count="2">
          <reference field="4294967294" count="1" selected="0">
            <x v="0"/>
          </reference>
          <reference field="5" count="1" selected="0">
            <x v="646"/>
          </reference>
        </references>
      </pivotArea>
    </chartFormat>
    <chartFormat chart="25" format="30">
      <pivotArea type="data" outline="0" fieldPosition="0">
        <references count="2">
          <reference field="4294967294" count="1" selected="0">
            <x v="0"/>
          </reference>
          <reference field="5" count="1" selected="0">
            <x v="831"/>
          </reference>
        </references>
      </pivotArea>
    </chartFormat>
    <chartFormat chart="25" format="31">
      <pivotArea type="data" outline="0" fieldPosition="0">
        <references count="2">
          <reference field="4294967294" count="1" selected="0">
            <x v="0"/>
          </reference>
          <reference field="5" count="1" selected="0">
            <x v="125"/>
          </reference>
        </references>
      </pivotArea>
    </chartFormat>
    <chartFormat chart="28" format="37" series="1">
      <pivotArea type="data" outline="0" fieldPosition="0">
        <references count="1">
          <reference field="4294967294" count="1" selected="0">
            <x v="0"/>
          </reference>
        </references>
      </pivotArea>
    </chartFormat>
    <chartFormat chart="28" format="38">
      <pivotArea type="data" outline="0" fieldPosition="0">
        <references count="2">
          <reference field="4294967294" count="1" selected="0">
            <x v="0"/>
          </reference>
          <reference field="5" count="1" selected="0">
            <x v="255"/>
          </reference>
        </references>
      </pivotArea>
    </chartFormat>
    <chartFormat chart="28" format="39">
      <pivotArea type="data" outline="0" fieldPosition="0">
        <references count="2">
          <reference field="4294967294" count="1" selected="0">
            <x v="0"/>
          </reference>
          <reference field="5" count="1" selected="0">
            <x v="646"/>
          </reference>
        </references>
      </pivotArea>
    </chartFormat>
    <chartFormat chart="28" format="40">
      <pivotArea type="data" outline="0" fieldPosition="0">
        <references count="2">
          <reference field="4294967294" count="1" selected="0">
            <x v="0"/>
          </reference>
          <reference field="5" count="1" selected="0">
            <x v="831"/>
          </reference>
        </references>
      </pivotArea>
    </chartFormat>
    <chartFormat chart="28" format="41">
      <pivotArea type="data" outline="0" fieldPosition="0">
        <references count="2">
          <reference field="4294967294" count="1" selected="0">
            <x v="0"/>
          </reference>
          <reference field="5" count="1" selected="0">
            <x v="125"/>
          </reference>
        </references>
      </pivotArea>
    </chartFormat>
    <chartFormat chart="18" format="12">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8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0E7B2B3-B4AE-4F86-8535-925CE218B3A6}" sourceName="Size">
  <pivotTables>
    <pivotTable tabId="19" name="TotalSales"/>
  </pivotTables>
  <data>
    <tabular pivotCacheId="157706275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2C77453-E0BB-48CA-B675-733209600802}" sourceName="Roast Type Name">
  <pivotTables>
    <pivotTable tabId="19" name="TotalSales"/>
  </pivotTables>
  <data>
    <tabular pivotCacheId="157706275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8FA3A59-9718-45A5-8DAB-3265573FF45C}" sourceName="Loyalty Card">
  <pivotTables>
    <pivotTable tabId="19" name="TotalSales"/>
  </pivotTables>
  <data>
    <tabular pivotCacheId="157706275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E2AF23BC-FA0D-4D67-B948-879F7B1BA3E5}" sourceName="Coffee Type Name">
  <pivotTables>
    <pivotTable tabId="19" name="TotalSales"/>
  </pivotTables>
  <data>
    <tabular pivotCacheId="157706275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6A4CE23-D7C6-4321-97F9-6DFE4897CC2C}" cache="Slicer_Size" caption="Size" columnCount="2" style="Coffee Slicer" rowHeight="234950"/>
  <slicer name="Roast Type Name" xr10:uid="{9B266F8A-ED1A-42D9-ACE5-75803151E21F}" cache="Slicer_Roast_Type_Name" caption="Roast Type Name" style="Coffee Slicer" rowHeight="234950"/>
  <slicer name="Loyalty Card" xr10:uid="{B6F9C882-DD4E-4DE9-8730-1A7A8ADBE60A}" cache="Slicer_Loyalty_Card" caption="Loyalty Card" style="Coffee Slicer" rowHeight="234950"/>
  <slicer name="Coffee Type Name" xr10:uid="{DFB7D504-046D-4479-BCF5-441373010A5E}" cache="Slicer_Coffee_Type_Name" caption="Coffee Type Name" style="Coffe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0331C7F3-58EB-456D-8B2A-288CDD8E6548}" cache="Slicer_Size" caption="Size" columnCount="2" style="Coffee Slicer" rowHeight="234950"/>
  <slicer name="Roast Type Name 2" xr10:uid="{AE24E178-FC42-4FA5-AB05-11E34A37A345}" cache="Slicer_Roast_Type_Name" caption="Roast Type Name" columnCount="3" style="Coffee Slicer" rowHeight="234950"/>
  <slicer name="Loyalty Card 2" xr10:uid="{52F63E49-A87F-4349-932A-19C985D301A8}" cache="Slicer_Loyalty_Card" caption="Loyalty Card" style="Coffee Slic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3" xr10:uid="{75FBABBA-FD73-4683-95D3-79946C2DDFDD}" cache="Slicer_Size" caption="Size" columnCount="2" style="Coffee Slicer" rowHeight="234950"/>
  <slicer name="Roast Type Name 3" xr10:uid="{7888C4AE-8F91-4710-A033-83E72CF844E0}" cache="Slicer_Roast_Type_Name" caption="Roast Type Name" style="Coffee Slicer" rowHeight="234950"/>
  <slicer name="Loyalty Card 3" xr10:uid="{5F724EB5-F52F-44DA-B2D2-B827253C2EF1}" cache="Slicer_Loyalty_Card" caption="Loyalty Card" style="Coffee Slicer" rowHeight="234950"/>
  <slicer name="Coffee Type Name 1" xr10:uid="{43796EB7-76D9-4C62-9F3F-8A8579309EB3}" cache="Slicer_Coffee_Type_Name" caption="Coffee Type Name" style="Coffe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8B4989-0218-43BD-892A-156A76AF0568}" name="Table2" displayName="Table2" ref="A1:P1001" totalsRowShown="0" headerRowDxfId="17">
  <autoFilter ref="A1:P1001" xr:uid="{398B4989-0218-43BD-892A-156A76AF0568}"/>
  <tableColumns count="16">
    <tableColumn id="1" xr3:uid="{F3F5792D-EF74-4D78-8ED7-46CBE9D04206}" name="Order ID" dataDxfId="16"/>
    <tableColumn id="2" xr3:uid="{7049A067-00A9-4DDA-8979-FE2A02592B1B}" name="Order Date" dataDxfId="15"/>
    <tableColumn id="3" xr3:uid="{DB9C9DD5-0151-4A3F-839B-80C797A3B740}" name="Customer ID" dataDxfId="14"/>
    <tableColumn id="4" xr3:uid="{8B0D8E40-78FF-44CC-B322-1E253214EEE7}" name="Product ID"/>
    <tableColumn id="5" xr3:uid="{24709B81-CAC8-44A4-AB90-9960C3A85D1D}" name="Quantity" dataDxfId="13"/>
    <tableColumn id="6" xr3:uid="{98B97633-2A43-4BDF-BBB8-9D8E857F855A}" name="Customer Name" dataDxfId="12">
      <calculatedColumnFormula>_xlfn.XLOOKUP(C2,customers!$A$1:$A$1001,customers!$B$1:$B$1001,,0)</calculatedColumnFormula>
    </tableColumn>
    <tableColumn id="7" xr3:uid="{7AF8AEF6-96C6-4B8C-B6C7-1F378A9EB76D}" name="Email" dataDxfId="11">
      <calculatedColumnFormula>IF(_xlfn.XLOOKUP(C2,customers!$A$1:$A$1001,customers!$C$1:$C$1001,,0)=0,"",_xlfn.XLOOKUP(C2,customers!$A$1:$A$1001,customers!$C$1:$C$1001,,0))</calculatedColumnFormula>
    </tableColumn>
    <tableColumn id="8" xr3:uid="{3919BC9A-1942-402C-AA40-D8F85742B53F}" name="Country" dataDxfId="10">
      <calculatedColumnFormula>_xlfn.XLOOKUP(C2,customers!$A$1:$A$1001,customers!$G$1:$G$1001,,0)</calculatedColumnFormula>
    </tableColumn>
    <tableColumn id="9" xr3:uid="{96D33E3C-0D03-4086-AA40-55904A265D20}" name="Coffee Type">
      <calculatedColumnFormula>INDEX(products!$A$1:$G$49,MATCH(orders!$D2,products!$A$1:$A$49,0),MATCH(orders!I$1,products!$A$1:$G$1,0))</calculatedColumnFormula>
    </tableColumn>
    <tableColumn id="10" xr3:uid="{0767F962-E54B-44B3-9CF7-04A4936DFB3F}" name="Roast Type">
      <calculatedColumnFormula>INDEX(products!$A$1:$G$49,MATCH(orders!$D2,products!$A$1:$A$49,0),MATCH(orders!J$1,products!$A$1:$G$1,0))</calculatedColumnFormula>
    </tableColumn>
    <tableColumn id="11" xr3:uid="{39BEAE7D-AABB-4C6D-B434-46F00B15C745}" name="Size" dataDxfId="9">
      <calculatedColumnFormula>INDEX(products!$A$1:$G$49,MATCH(orders!$D2,products!$A$1:$A$49,0),MATCH(orders!K$1,products!$A$1:$G$1,0))</calculatedColumnFormula>
    </tableColumn>
    <tableColumn id="12" xr3:uid="{ACAF9BC6-2FC0-4677-B3E4-21DA3BC93111}" name="Unit Price" dataDxfId="8">
      <calculatedColumnFormula>INDEX(products!$A$1:$G$49,MATCH(orders!$D2,products!$A$1:$A$49,0),MATCH(orders!L$1,products!$A$1:$G$1,0))</calculatedColumnFormula>
    </tableColumn>
    <tableColumn id="13" xr3:uid="{E85AC85F-22A7-4328-8CA2-2B08EA6D6495}" name="Sales" dataDxfId="7">
      <calculatedColumnFormula>L2*E2</calculatedColumnFormula>
    </tableColumn>
    <tableColumn id="14" xr3:uid="{8943D979-E101-421A-A3D8-BC3F47F68BBD}" name="Coffee Type Name">
      <calculatedColumnFormula>IF(I2="Rob","Robusta",IF(I2="Exc","Excelsa",IF(I2="Ara","Arabica",IF(I2="Lib","Liberica",""))))</calculatedColumnFormula>
    </tableColumn>
    <tableColumn id="15" xr3:uid="{D3B51E34-DD01-486F-965C-4522F2761AA6}" name="Roast Type Name">
      <calculatedColumnFormula>IF(J2="M","Medium",IF(J2="L","Light",IF(J2="D","Dark","")))</calculatedColumnFormula>
    </tableColumn>
    <tableColumn id="16" xr3:uid="{4F83CBD4-9786-45C6-8819-B107EBD44CD0}" name="Loyalty Card" dataDxfId="6">
      <calculatedColumnFormula>_xlfn.XLOOKUP(Table2[[#This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736A007-18ED-4434-8C9E-7E5D970B045D}" sourceName="Order Date">
  <pivotTables>
    <pivotTable tabId="19" name="TotalSales"/>
  </pivotTables>
  <state minimalRefreshVersion="6" lastRefreshVersion="6" pivotCacheId="157706275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4E3E9AA-A11B-4667-8322-CDC0920AA211}" cache="NativeTimeline_Order_Date" caption="Order Date" level="2" selectionLevel="2" scrollPosition="2019-01-01T00:00:00" style="Coffee Timeline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8B7DF421-9B28-41BA-844F-FB4E82DA7E08}" cache="NativeTimeline_Order_Date" caption="Order Date" level="2" selectionLevel="2" scrollPosition="2019-01-01T00:00:00" style="Coffee Timeline 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5D6A1B4B-A5D2-4989-912F-BAF51CE3BEAC}" cache="NativeTimeline_Order_Date" caption="Order Date" level="2" selectionLevel="2" scrollPosition="2021-10-14T00:00:00" style="Coffee Timeline 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B257-1843-4DFC-A025-73635DD71227}">
  <dimension ref="A3:F48"/>
  <sheetViews>
    <sheetView zoomScale="93" workbookViewId="0">
      <selection activeCell="A9" sqref="A9"/>
    </sheetView>
  </sheetViews>
  <sheetFormatPr defaultRowHeight="14.4" x14ac:dyDescent="0.3"/>
  <cols>
    <col min="1" max="1" width="24.109375" bestFit="1" customWidth="1"/>
    <col min="2" max="2" width="21.44140625" bestFit="1" customWidth="1"/>
    <col min="3" max="3" width="19.109375" bestFit="1" customWidth="1"/>
    <col min="4" max="4" width="7.109375" bestFit="1" customWidth="1"/>
    <col min="5" max="5" width="7.5546875" bestFit="1" customWidth="1"/>
    <col min="6" max="7" width="8" bestFit="1" customWidth="1"/>
  </cols>
  <sheetData>
    <row r="3" spans="1:6" x14ac:dyDescent="0.3">
      <c r="A3" s="6" t="s">
        <v>6219</v>
      </c>
      <c r="C3" s="6" t="s">
        <v>6197</v>
      </c>
    </row>
    <row r="4" spans="1:6" x14ac:dyDescent="0.3">
      <c r="A4" s="6" t="s">
        <v>6213</v>
      </c>
      <c r="B4" s="6" t="s">
        <v>6214</v>
      </c>
      <c r="C4" t="s">
        <v>6215</v>
      </c>
      <c r="D4" t="s">
        <v>6216</v>
      </c>
      <c r="E4" t="s">
        <v>6217</v>
      </c>
      <c r="F4" t="s">
        <v>6218</v>
      </c>
    </row>
    <row r="5" spans="1:6" x14ac:dyDescent="0.3">
      <c r="A5" t="s">
        <v>6199</v>
      </c>
      <c r="B5" t="s">
        <v>6201</v>
      </c>
      <c r="C5" s="7">
        <v>186.85499999999999</v>
      </c>
      <c r="D5" s="7">
        <v>305.97000000000003</v>
      </c>
      <c r="E5" s="7">
        <v>213.15999999999997</v>
      </c>
      <c r="F5" s="7">
        <v>123</v>
      </c>
    </row>
    <row r="6" spans="1:6" x14ac:dyDescent="0.3">
      <c r="B6" t="s">
        <v>6202</v>
      </c>
      <c r="C6" s="7">
        <v>251.96499999999997</v>
      </c>
      <c r="D6" s="7">
        <v>129.46</v>
      </c>
      <c r="E6" s="7">
        <v>434.03999999999996</v>
      </c>
      <c r="F6" s="7">
        <v>171.93999999999997</v>
      </c>
    </row>
    <row r="7" spans="1:6" x14ac:dyDescent="0.3">
      <c r="B7" t="s">
        <v>6203</v>
      </c>
      <c r="C7" s="7">
        <v>224.94499999999999</v>
      </c>
      <c r="D7" s="7">
        <v>349.12</v>
      </c>
      <c r="E7" s="7">
        <v>321.04000000000002</v>
      </c>
      <c r="F7" s="7">
        <v>126.035</v>
      </c>
    </row>
    <row r="8" spans="1:6" x14ac:dyDescent="0.3">
      <c r="B8" t="s">
        <v>6204</v>
      </c>
      <c r="C8" s="7">
        <v>307.12</v>
      </c>
      <c r="D8" s="7">
        <v>681.07499999999993</v>
      </c>
      <c r="E8" s="7">
        <v>533.70499999999993</v>
      </c>
      <c r="F8" s="7">
        <v>158.85</v>
      </c>
    </row>
    <row r="9" spans="1:6" x14ac:dyDescent="0.3">
      <c r="B9" t="s">
        <v>6205</v>
      </c>
      <c r="C9" s="7">
        <v>53.664999999999992</v>
      </c>
      <c r="D9" s="7">
        <v>83.025000000000006</v>
      </c>
      <c r="E9" s="7">
        <v>193.83499999999998</v>
      </c>
      <c r="F9" s="7">
        <v>68.039999999999992</v>
      </c>
    </row>
    <row r="10" spans="1:6" x14ac:dyDescent="0.3">
      <c r="B10" t="s">
        <v>6206</v>
      </c>
      <c r="C10" s="7">
        <v>163.01999999999998</v>
      </c>
      <c r="D10" s="7">
        <v>678.3599999999999</v>
      </c>
      <c r="E10" s="7">
        <v>171.04500000000002</v>
      </c>
      <c r="F10" s="7">
        <v>372.255</v>
      </c>
    </row>
    <row r="11" spans="1:6" x14ac:dyDescent="0.3">
      <c r="B11" t="s">
        <v>6207</v>
      </c>
      <c r="C11" s="7">
        <v>345.02</v>
      </c>
      <c r="D11" s="7">
        <v>273.86999999999995</v>
      </c>
      <c r="E11" s="7">
        <v>184.12999999999997</v>
      </c>
      <c r="F11" s="7">
        <v>201.11499999999998</v>
      </c>
    </row>
    <row r="12" spans="1:6" x14ac:dyDescent="0.3">
      <c r="B12" t="s">
        <v>6208</v>
      </c>
      <c r="C12" s="7">
        <v>334.89</v>
      </c>
      <c r="D12" s="7">
        <v>70.95</v>
      </c>
      <c r="E12" s="7">
        <v>134.23000000000002</v>
      </c>
      <c r="F12" s="7">
        <v>166.27499999999998</v>
      </c>
    </row>
    <row r="13" spans="1:6" x14ac:dyDescent="0.3">
      <c r="B13" t="s">
        <v>6209</v>
      </c>
      <c r="C13" s="7">
        <v>178.70999999999998</v>
      </c>
      <c r="D13" s="7">
        <v>166.1</v>
      </c>
      <c r="E13" s="7">
        <v>439.30999999999995</v>
      </c>
      <c r="F13" s="7">
        <v>492.9</v>
      </c>
    </row>
    <row r="14" spans="1:6" x14ac:dyDescent="0.3">
      <c r="B14" t="s">
        <v>6210</v>
      </c>
      <c r="C14" s="7">
        <v>301.98500000000001</v>
      </c>
      <c r="D14" s="7">
        <v>153.76499999999999</v>
      </c>
      <c r="E14" s="7">
        <v>215.55499999999998</v>
      </c>
      <c r="F14" s="7">
        <v>213.66499999999999</v>
      </c>
    </row>
    <row r="15" spans="1:6" x14ac:dyDescent="0.3">
      <c r="B15" t="s">
        <v>6211</v>
      </c>
      <c r="C15" s="7">
        <v>312.83499999999998</v>
      </c>
      <c r="D15" s="7">
        <v>63.249999999999993</v>
      </c>
      <c r="E15" s="7">
        <v>350.89500000000004</v>
      </c>
      <c r="F15" s="7">
        <v>96.405000000000001</v>
      </c>
    </row>
    <row r="16" spans="1:6" x14ac:dyDescent="0.3">
      <c r="B16" t="s">
        <v>6212</v>
      </c>
      <c r="C16" s="7">
        <v>265.62</v>
      </c>
      <c r="D16" s="7">
        <v>526.51499999999987</v>
      </c>
      <c r="E16" s="7">
        <v>187.06</v>
      </c>
      <c r="F16" s="7">
        <v>210.58999999999997</v>
      </c>
    </row>
    <row r="17" spans="1:6" x14ac:dyDescent="0.3">
      <c r="A17" t="s">
        <v>6200</v>
      </c>
      <c r="B17" t="s">
        <v>6201</v>
      </c>
      <c r="C17" s="7">
        <v>47.25</v>
      </c>
      <c r="D17" s="7">
        <v>65.805000000000007</v>
      </c>
      <c r="E17" s="7">
        <v>274.67500000000001</v>
      </c>
      <c r="F17" s="7">
        <v>179.22</v>
      </c>
    </row>
    <row r="18" spans="1:6" x14ac:dyDescent="0.3">
      <c r="B18" t="s">
        <v>6202</v>
      </c>
      <c r="C18" s="7">
        <v>745.44999999999993</v>
      </c>
      <c r="D18" s="7">
        <v>428.88499999999999</v>
      </c>
      <c r="E18" s="7">
        <v>194.17499999999998</v>
      </c>
      <c r="F18" s="7">
        <v>429.82999999999993</v>
      </c>
    </row>
    <row r="19" spans="1:6" x14ac:dyDescent="0.3">
      <c r="B19" t="s">
        <v>6203</v>
      </c>
      <c r="C19" s="7">
        <v>130.47</v>
      </c>
      <c r="D19" s="7">
        <v>271.48500000000001</v>
      </c>
      <c r="E19" s="7">
        <v>281.20499999999998</v>
      </c>
      <c r="F19" s="7">
        <v>231.63000000000002</v>
      </c>
    </row>
    <row r="20" spans="1:6" x14ac:dyDescent="0.3">
      <c r="B20" t="s">
        <v>6204</v>
      </c>
      <c r="C20" s="7">
        <v>27</v>
      </c>
      <c r="D20" s="7">
        <v>347.26</v>
      </c>
      <c r="E20" s="7">
        <v>147.51</v>
      </c>
      <c r="F20" s="7">
        <v>240.04</v>
      </c>
    </row>
    <row r="21" spans="1:6" x14ac:dyDescent="0.3">
      <c r="B21" t="s">
        <v>6205</v>
      </c>
      <c r="C21" s="7">
        <v>255.11499999999995</v>
      </c>
      <c r="D21" s="7">
        <v>541.73</v>
      </c>
      <c r="E21" s="7">
        <v>83.43</v>
      </c>
      <c r="F21" s="7">
        <v>59.079999999999991</v>
      </c>
    </row>
    <row r="22" spans="1:6" x14ac:dyDescent="0.3">
      <c r="B22" t="s">
        <v>6206</v>
      </c>
      <c r="C22" s="7">
        <v>584.78999999999985</v>
      </c>
      <c r="D22" s="7">
        <v>357.42999999999995</v>
      </c>
      <c r="E22" s="7">
        <v>355.34</v>
      </c>
      <c r="F22" s="7">
        <v>140.88</v>
      </c>
    </row>
    <row r="23" spans="1:6" x14ac:dyDescent="0.3">
      <c r="B23" t="s">
        <v>6207</v>
      </c>
      <c r="C23" s="7">
        <v>430.62</v>
      </c>
      <c r="D23" s="7">
        <v>227.42500000000001</v>
      </c>
      <c r="E23" s="7">
        <v>236.315</v>
      </c>
      <c r="F23" s="7">
        <v>414.58499999999992</v>
      </c>
    </row>
    <row r="24" spans="1:6" x14ac:dyDescent="0.3">
      <c r="B24" t="s">
        <v>6208</v>
      </c>
      <c r="C24" s="7">
        <v>22.5</v>
      </c>
      <c r="D24" s="7">
        <v>77.72</v>
      </c>
      <c r="E24" s="7">
        <v>60.5</v>
      </c>
      <c r="F24" s="7">
        <v>139.67999999999998</v>
      </c>
    </row>
    <row r="25" spans="1:6" x14ac:dyDescent="0.3">
      <c r="B25" t="s">
        <v>6209</v>
      </c>
      <c r="C25" s="7">
        <v>126.14999999999999</v>
      </c>
      <c r="D25" s="7">
        <v>195.11</v>
      </c>
      <c r="E25" s="7">
        <v>89.13</v>
      </c>
      <c r="F25" s="7">
        <v>302.65999999999997</v>
      </c>
    </row>
    <row r="26" spans="1:6" x14ac:dyDescent="0.3">
      <c r="B26" t="s">
        <v>6210</v>
      </c>
      <c r="C26" s="7">
        <v>376.03</v>
      </c>
      <c r="D26" s="7">
        <v>523.24</v>
      </c>
      <c r="E26" s="7">
        <v>440.96499999999997</v>
      </c>
      <c r="F26" s="7">
        <v>174.46999999999997</v>
      </c>
    </row>
    <row r="27" spans="1:6" x14ac:dyDescent="0.3">
      <c r="B27" t="s">
        <v>6211</v>
      </c>
      <c r="C27" s="7">
        <v>515.17999999999995</v>
      </c>
      <c r="D27" s="7">
        <v>142.56</v>
      </c>
      <c r="E27" s="7">
        <v>347.03999999999996</v>
      </c>
      <c r="F27" s="7">
        <v>104.08499999999999</v>
      </c>
    </row>
    <row r="28" spans="1:6" x14ac:dyDescent="0.3">
      <c r="B28" t="s">
        <v>6212</v>
      </c>
      <c r="C28" s="7">
        <v>95.859999999999985</v>
      </c>
      <c r="D28" s="7">
        <v>484.76</v>
      </c>
      <c r="E28" s="7">
        <v>94.17</v>
      </c>
      <c r="F28" s="7">
        <v>77.10499999999999</v>
      </c>
    </row>
    <row r="29" spans="1:6" x14ac:dyDescent="0.3">
      <c r="A29" t="s">
        <v>6221</v>
      </c>
      <c r="B29" t="s">
        <v>6201</v>
      </c>
      <c r="C29" s="7">
        <v>258.34500000000003</v>
      </c>
      <c r="D29" s="7">
        <v>139.625</v>
      </c>
      <c r="E29" s="7">
        <v>279.52000000000004</v>
      </c>
      <c r="F29" s="7">
        <v>160.19499999999999</v>
      </c>
    </row>
    <row r="30" spans="1:6" x14ac:dyDescent="0.3">
      <c r="B30" t="s">
        <v>6202</v>
      </c>
      <c r="C30" s="7">
        <v>342.2</v>
      </c>
      <c r="D30" s="7">
        <v>284.24999999999994</v>
      </c>
      <c r="E30" s="7">
        <v>251.83</v>
      </c>
      <c r="F30" s="7">
        <v>80.550000000000011</v>
      </c>
    </row>
    <row r="31" spans="1:6" x14ac:dyDescent="0.3">
      <c r="B31" t="s">
        <v>6203</v>
      </c>
      <c r="C31" s="7">
        <v>418.30499999999989</v>
      </c>
      <c r="D31" s="7">
        <v>468.125</v>
      </c>
      <c r="E31" s="7">
        <v>405.05500000000006</v>
      </c>
      <c r="F31" s="7">
        <v>253.15499999999997</v>
      </c>
    </row>
    <row r="32" spans="1:6" x14ac:dyDescent="0.3">
      <c r="B32" t="s">
        <v>6204</v>
      </c>
      <c r="C32" s="7">
        <v>102.32999999999998</v>
      </c>
      <c r="D32" s="7">
        <v>242.14000000000001</v>
      </c>
      <c r="E32" s="7">
        <v>554.875</v>
      </c>
      <c r="F32" s="7">
        <v>106.23999999999998</v>
      </c>
    </row>
    <row r="33" spans="1:6" x14ac:dyDescent="0.3">
      <c r="B33" t="s">
        <v>6205</v>
      </c>
      <c r="C33" s="7">
        <v>234.71999999999997</v>
      </c>
      <c r="D33" s="7">
        <v>133.08000000000001</v>
      </c>
      <c r="E33" s="7">
        <v>267.2</v>
      </c>
      <c r="F33" s="7">
        <v>272.68999999999994</v>
      </c>
    </row>
    <row r="34" spans="1:6" x14ac:dyDescent="0.3">
      <c r="B34" t="s">
        <v>6206</v>
      </c>
      <c r="C34" s="7">
        <v>430.39</v>
      </c>
      <c r="D34" s="7">
        <v>136.20500000000001</v>
      </c>
      <c r="E34" s="7">
        <v>209.6</v>
      </c>
      <c r="F34" s="7">
        <v>88.334999999999994</v>
      </c>
    </row>
    <row r="35" spans="1:6" x14ac:dyDescent="0.3">
      <c r="B35" t="s">
        <v>6207</v>
      </c>
      <c r="C35" s="7">
        <v>109.005</v>
      </c>
      <c r="D35" s="7">
        <v>393.57499999999999</v>
      </c>
      <c r="E35" s="7">
        <v>61.034999999999997</v>
      </c>
      <c r="F35" s="7">
        <v>199.48999999999998</v>
      </c>
    </row>
    <row r="36" spans="1:6" x14ac:dyDescent="0.3">
      <c r="B36" t="s">
        <v>6208</v>
      </c>
      <c r="C36" s="7">
        <v>287.52499999999998</v>
      </c>
      <c r="D36" s="7">
        <v>288.67</v>
      </c>
      <c r="E36" s="7">
        <v>125.58</v>
      </c>
      <c r="F36" s="7">
        <v>374.13499999999999</v>
      </c>
    </row>
    <row r="37" spans="1:6" x14ac:dyDescent="0.3">
      <c r="B37" t="s">
        <v>6209</v>
      </c>
      <c r="C37" s="7">
        <v>840.92999999999984</v>
      </c>
      <c r="D37" s="7">
        <v>409.875</v>
      </c>
      <c r="E37" s="7">
        <v>171.32999999999998</v>
      </c>
      <c r="F37" s="7">
        <v>221.43999999999997</v>
      </c>
    </row>
    <row r="38" spans="1:6" x14ac:dyDescent="0.3">
      <c r="B38" t="s">
        <v>6210</v>
      </c>
      <c r="C38" s="7">
        <v>299.07</v>
      </c>
      <c r="D38" s="7">
        <v>260.32499999999999</v>
      </c>
      <c r="E38" s="7">
        <v>584.64</v>
      </c>
      <c r="F38" s="7">
        <v>256.36500000000001</v>
      </c>
    </row>
    <row r="39" spans="1:6" x14ac:dyDescent="0.3">
      <c r="B39" t="s">
        <v>6211</v>
      </c>
      <c r="C39" s="7">
        <v>323.32499999999999</v>
      </c>
      <c r="D39" s="7">
        <v>565.57000000000005</v>
      </c>
      <c r="E39" s="7">
        <v>537.80999999999995</v>
      </c>
      <c r="F39" s="7">
        <v>189.47499999999999</v>
      </c>
    </row>
    <row r="40" spans="1:6" x14ac:dyDescent="0.3">
      <c r="B40" t="s">
        <v>6212</v>
      </c>
      <c r="C40" s="7">
        <v>399.48499999999996</v>
      </c>
      <c r="D40" s="7">
        <v>148.19999999999999</v>
      </c>
      <c r="E40" s="7">
        <v>388.21999999999997</v>
      </c>
      <c r="F40" s="7">
        <v>212.07499999999999</v>
      </c>
    </row>
    <row r="41" spans="1:6" x14ac:dyDescent="0.3">
      <c r="A41" t="s">
        <v>6222</v>
      </c>
      <c r="B41" t="s">
        <v>6201</v>
      </c>
      <c r="C41" s="7">
        <v>112.69499999999999</v>
      </c>
      <c r="D41" s="7">
        <v>166.32</v>
      </c>
      <c r="E41" s="7">
        <v>843.71499999999992</v>
      </c>
      <c r="F41" s="7">
        <v>146.685</v>
      </c>
    </row>
    <row r="42" spans="1:6" x14ac:dyDescent="0.3">
      <c r="B42" t="s">
        <v>6202</v>
      </c>
      <c r="C42" s="7">
        <v>114.87999999999998</v>
      </c>
      <c r="D42" s="7">
        <v>133.815</v>
      </c>
      <c r="E42" s="7">
        <v>91.175000000000011</v>
      </c>
      <c r="F42" s="7">
        <v>53.759999999999991</v>
      </c>
    </row>
    <row r="43" spans="1:6" x14ac:dyDescent="0.3">
      <c r="B43" t="s">
        <v>6203</v>
      </c>
      <c r="C43" s="7">
        <v>277.76</v>
      </c>
      <c r="D43" s="7">
        <v>175.41</v>
      </c>
      <c r="E43" s="7">
        <v>462.50999999999993</v>
      </c>
      <c r="F43" s="7">
        <v>399.52499999999998</v>
      </c>
    </row>
    <row r="44" spans="1:6" x14ac:dyDescent="0.3">
      <c r="B44" t="s">
        <v>6204</v>
      </c>
      <c r="C44" s="7">
        <v>197.89499999999998</v>
      </c>
      <c r="D44" s="7">
        <v>289.755</v>
      </c>
      <c r="E44" s="7">
        <v>88.545000000000002</v>
      </c>
      <c r="F44" s="7">
        <v>200.25499999999997</v>
      </c>
    </row>
    <row r="45" spans="1:6" x14ac:dyDescent="0.3">
      <c r="B45" t="s">
        <v>6205</v>
      </c>
      <c r="C45" s="7">
        <v>193.11499999999998</v>
      </c>
      <c r="D45" s="7">
        <v>212.49499999999998</v>
      </c>
      <c r="E45" s="7">
        <v>292.29000000000002</v>
      </c>
      <c r="F45" s="7">
        <v>304.46999999999997</v>
      </c>
    </row>
    <row r="46" spans="1:6" x14ac:dyDescent="0.3">
      <c r="B46" t="s">
        <v>6206</v>
      </c>
      <c r="C46" s="7">
        <v>179.79</v>
      </c>
      <c r="D46" s="7">
        <v>426.2</v>
      </c>
      <c r="E46" s="7">
        <v>170.08999999999997</v>
      </c>
      <c r="F46" s="7">
        <v>379.31</v>
      </c>
    </row>
    <row r="47" spans="1:6" x14ac:dyDescent="0.3">
      <c r="B47" t="s">
        <v>6207</v>
      </c>
      <c r="C47" s="7">
        <v>247.28999999999996</v>
      </c>
      <c r="D47" s="7">
        <v>246.685</v>
      </c>
      <c r="E47" s="7">
        <v>271.05499999999995</v>
      </c>
      <c r="F47" s="7">
        <v>141.69999999999999</v>
      </c>
    </row>
    <row r="48" spans="1:6" x14ac:dyDescent="0.3">
      <c r="B48" t="s">
        <v>6208</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77EA-C78C-4396-991C-1F5F7BACA7B5}">
  <dimension ref="A3:B7"/>
  <sheetViews>
    <sheetView workbookViewId="0">
      <selection activeCell="P16" sqref="P16"/>
    </sheetView>
  </sheetViews>
  <sheetFormatPr defaultRowHeight="14.4" x14ac:dyDescent="0.3"/>
  <cols>
    <col min="1" max="1" width="12.5546875" bestFit="1" customWidth="1"/>
    <col min="2" max="2" width="14.88671875" bestFit="1" customWidth="1"/>
  </cols>
  <sheetData>
    <row r="3" spans="1:2" x14ac:dyDescent="0.3">
      <c r="A3" s="6" t="s">
        <v>6226</v>
      </c>
      <c r="B3" t="s">
        <v>6228</v>
      </c>
    </row>
    <row r="4" spans="1:2" x14ac:dyDescent="0.3">
      <c r="A4" s="13" t="s">
        <v>6223</v>
      </c>
      <c r="B4" s="14">
        <v>1156</v>
      </c>
    </row>
    <row r="5" spans="1:2" x14ac:dyDescent="0.3">
      <c r="A5" s="13" t="s">
        <v>6225</v>
      </c>
      <c r="B5" s="14">
        <v>1165</v>
      </c>
    </row>
    <row r="6" spans="1:2" x14ac:dyDescent="0.3">
      <c r="A6" s="13" t="s">
        <v>6224</v>
      </c>
      <c r="B6" s="14">
        <v>1230</v>
      </c>
    </row>
    <row r="7" spans="1:2" x14ac:dyDescent="0.3">
      <c r="A7" s="13" t="s">
        <v>6227</v>
      </c>
      <c r="B7" s="14">
        <v>3551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1698-9F8B-4266-B1DD-B9CF10707DAE}">
  <dimension ref="A1:B9"/>
  <sheetViews>
    <sheetView workbookViewId="0">
      <selection activeCell="A7" sqref="A7"/>
    </sheetView>
  </sheetViews>
  <sheetFormatPr defaultRowHeight="14.4" x14ac:dyDescent="0.3"/>
  <cols>
    <col min="1" max="1" width="17.88671875" bestFit="1" customWidth="1"/>
    <col min="2" max="2" width="10.5546875" bestFit="1" customWidth="1"/>
  </cols>
  <sheetData>
    <row r="1" spans="1:2" x14ac:dyDescent="0.3">
      <c r="A1" s="12" t="s">
        <v>6229</v>
      </c>
      <c r="B1" s="12" t="s">
        <v>6230</v>
      </c>
    </row>
    <row r="2" spans="1:2" x14ac:dyDescent="0.3">
      <c r="A2" s="11" t="s">
        <v>6231</v>
      </c>
      <c r="B2" s="5">
        <f>SUM(orders!M:M)</f>
        <v>45134.254999999997</v>
      </c>
    </row>
    <row r="3" spans="1:2" x14ac:dyDescent="0.3">
      <c r="A3" s="11" t="s">
        <v>6232</v>
      </c>
      <c r="B3">
        <f>SUM(orders!E:E)</f>
        <v>3551</v>
      </c>
    </row>
    <row r="4" spans="1:2" x14ac:dyDescent="0.3">
      <c r="A4" s="11" t="s">
        <v>6233</v>
      </c>
      <c r="B4">
        <f>COUNT(orders!E:E)</f>
        <v>1000</v>
      </c>
    </row>
    <row r="5" spans="1:2" x14ac:dyDescent="0.3">
      <c r="A5" s="11" t="s">
        <v>6234</v>
      </c>
      <c r="B5" s="5">
        <f>IFERROR(B2/B3,0)</f>
        <v>12.710294283300478</v>
      </c>
    </row>
    <row r="6" spans="1:2" x14ac:dyDescent="0.3">
      <c r="A6" s="11" t="s">
        <v>6235</v>
      </c>
      <c r="B6" s="15">
        <f>IFERROR(B3/B9,0)</f>
        <v>3.5510000000000002</v>
      </c>
    </row>
    <row r="7" spans="1:2" x14ac:dyDescent="0.3">
      <c r="A7" s="16" t="s">
        <v>6236</v>
      </c>
      <c r="B7" s="5">
        <f>IFERROR(B2/B4,0)</f>
        <v>45.134254999999996</v>
      </c>
    </row>
    <row r="9" spans="1:2" x14ac:dyDescent="0.3">
      <c r="A9" t="s">
        <v>6237</v>
      </c>
      <c r="B9">
        <f>COUNTA(orders!A:A)-1</f>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A479-844D-4E88-98D3-2E10449F616A}">
  <dimension ref="A3:B6"/>
  <sheetViews>
    <sheetView zoomScale="93" workbookViewId="0">
      <selection activeCell="E25" activeCellId="1" sqref="Q13 E25"/>
    </sheetView>
  </sheetViews>
  <sheetFormatPr defaultRowHeight="14.4" x14ac:dyDescent="0.3"/>
  <cols>
    <col min="1" max="1" width="14.6640625" bestFit="1" customWidth="1"/>
    <col min="2" max="2" width="11.6640625" bestFit="1" customWidth="1"/>
    <col min="3" max="3" width="24.109375" bestFit="1" customWidth="1"/>
    <col min="4" max="4" width="7.109375" bestFit="1" customWidth="1"/>
    <col min="5" max="5" width="7.5546875" bestFit="1" customWidth="1"/>
    <col min="6" max="6" width="8" bestFit="1" customWidth="1"/>
  </cols>
  <sheetData>
    <row r="3" spans="1:2" x14ac:dyDescent="0.3">
      <c r="A3" s="6" t="s">
        <v>7</v>
      </c>
      <c r="B3" s="8" t="s">
        <v>6220</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E7269-70CB-4B25-B78F-56F6895BDE5D}">
  <dimension ref="A3:B8"/>
  <sheetViews>
    <sheetView zoomScale="93" workbookViewId="0">
      <selection activeCell="Q17" sqref="Q17"/>
    </sheetView>
  </sheetViews>
  <sheetFormatPr defaultRowHeight="14.4" x14ac:dyDescent="0.3"/>
  <cols>
    <col min="1" max="1" width="17.33203125" bestFit="1" customWidth="1"/>
    <col min="2" max="3" width="11.6640625" bestFit="1" customWidth="1"/>
    <col min="4" max="4" width="7.109375" bestFit="1" customWidth="1"/>
    <col min="5" max="5" width="7.5546875" bestFit="1" customWidth="1"/>
    <col min="6" max="6" width="8" bestFit="1" customWidth="1"/>
  </cols>
  <sheetData>
    <row r="3" spans="1:2" x14ac:dyDescent="0.3">
      <c r="A3" s="6" t="s">
        <v>4</v>
      </c>
      <c r="B3" s="8" t="s">
        <v>6220</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W1001"/>
  <sheetViews>
    <sheetView zoomScale="62" zoomScaleNormal="115" workbookViewId="0">
      <selection activeCell="S26" sqref="S26"/>
    </sheetView>
  </sheetViews>
  <sheetFormatPr defaultRowHeight="14.4" x14ac:dyDescent="0.3"/>
  <cols>
    <col min="1" max="1" width="16.5546875" bestFit="1" customWidth="1"/>
    <col min="2" max="2" width="18.109375" bestFit="1" customWidth="1"/>
    <col min="3" max="3" width="17.44140625" bestFit="1" customWidth="1"/>
    <col min="4" max="4" width="12.21875" customWidth="1"/>
    <col min="5" max="5" width="10.77734375" customWidth="1"/>
    <col min="6" max="6" width="22.44140625" bestFit="1" customWidth="1"/>
    <col min="7" max="7" width="36.6640625" bestFit="1" customWidth="1"/>
    <col min="8" max="8" width="12.21875" bestFit="1" customWidth="1"/>
    <col min="9" max="9" width="13.5546875" customWidth="1"/>
    <col min="10" max="10" width="12.5546875" customWidth="1"/>
    <col min="11" max="11" width="10" bestFit="1" customWidth="1"/>
    <col min="12" max="12" width="11.5546875" customWidth="1"/>
    <col min="13" max="13" width="8.21875" bestFit="1" customWidth="1"/>
    <col min="14" max="14" width="19.33203125" customWidth="1"/>
    <col min="15" max="15" width="24.6640625" bestFit="1" customWidth="1"/>
    <col min="16" max="16" width="19.109375" bestFit="1" customWidth="1"/>
  </cols>
  <sheetData>
    <row r="1" spans="1:23" x14ac:dyDescent="0.3">
      <c r="A1" s="2" t="s">
        <v>0</v>
      </c>
      <c r="B1" s="2" t="s">
        <v>1</v>
      </c>
      <c r="C1" s="2" t="s">
        <v>3</v>
      </c>
      <c r="D1" s="2" t="s">
        <v>11</v>
      </c>
      <c r="E1" s="2" t="s">
        <v>14</v>
      </c>
      <c r="F1" s="2" t="s">
        <v>4</v>
      </c>
      <c r="G1" s="2" t="s">
        <v>2</v>
      </c>
      <c r="H1" s="2" t="s">
        <v>7</v>
      </c>
      <c r="I1" s="2" t="s">
        <v>9</v>
      </c>
      <c r="J1" s="2" t="s">
        <v>10</v>
      </c>
      <c r="K1" s="2" t="s">
        <v>12</v>
      </c>
      <c r="L1" s="2" t="s">
        <v>13</v>
      </c>
      <c r="M1" s="2" t="s">
        <v>15</v>
      </c>
      <c r="N1" s="2" t="s">
        <v>6197</v>
      </c>
      <c r="O1" s="2" t="s">
        <v>6198</v>
      </c>
      <c r="P1" s="2" t="s">
        <v>6189</v>
      </c>
    </row>
    <row r="2" spans="1:23"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_xlfn.XLOOKUP(Table2[[#This Row],[Customer ID]],customers!$A$1:$A$1001,customers!$I$1:$I$1001,,0)</f>
        <v>Yes</v>
      </c>
    </row>
    <row r="3" spans="1:23"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_xlfn.XLOOKUP(Table2[[#This Row],[Customer ID]],customers!$A$1:$A$1001,customers!$I$1:$I$1001,,0)</f>
        <v>Yes</v>
      </c>
    </row>
    <row r="4" spans="1:23"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_xlfn.XLOOKUP(Table2[[#This Row],[Customer ID]],customers!$A$1:$A$1001,customers!$I$1:$I$1001,,0)</f>
        <v>Yes</v>
      </c>
    </row>
    <row r="5" spans="1:23"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_xlfn.XLOOKUP(Table2[[#This Row],[Customer ID]],customers!$A$1:$A$1001,customers!$I$1:$I$1001,,0)</f>
        <v>No</v>
      </c>
    </row>
    <row r="6" spans="1:23"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_xlfn.XLOOKUP(Table2[[#This Row],[Customer ID]],customers!$A$1:$A$1001,customers!$I$1:$I$1001,,0)</f>
        <v>No</v>
      </c>
    </row>
    <row r="7" spans="1:23"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_xlfn.XLOOKUP(Table2[[#This Row],[Customer ID]],customers!$A$1:$A$1001,customers!$I$1:$I$1001,,0)</f>
        <v>No</v>
      </c>
    </row>
    <row r="8" spans="1:23"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_xlfn.XLOOKUP(Table2[[#This Row],[Customer ID]],customers!$A$1:$A$1001,customers!$I$1:$I$1001,,0)</f>
        <v>Yes</v>
      </c>
    </row>
    <row r="9" spans="1:23"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_xlfn.XLOOKUP(Table2[[#This Row],[Customer ID]],customers!$A$1:$A$1001,customers!$I$1:$I$1001,,0)</f>
        <v>Yes</v>
      </c>
      <c r="R9" s="9" t="s">
        <v>6196</v>
      </c>
      <c r="S9" s="10"/>
      <c r="T9" s="10"/>
      <c r="U9" s="10"/>
      <c r="V9" s="10"/>
      <c r="W9" s="10"/>
    </row>
    <row r="10" spans="1:23"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_xlfn.XLOOKUP(Table2[[#This Row],[Customer ID]],customers!$A$1:$A$1001,customers!$I$1:$I$1001,,0)</f>
        <v>No</v>
      </c>
      <c r="R10" s="10"/>
      <c r="S10" s="10"/>
      <c r="T10" s="10"/>
      <c r="U10" s="10"/>
      <c r="V10" s="10"/>
      <c r="W10" s="10"/>
    </row>
    <row r="11" spans="1:23"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_xlfn.XLOOKUP(Table2[[#This Row],[Customer ID]],customers!$A$1:$A$1001,customers!$I$1:$I$1001,,0)</f>
        <v>No</v>
      </c>
      <c r="R11" s="10"/>
      <c r="S11" s="10"/>
      <c r="T11" s="10"/>
      <c r="U11" s="10"/>
      <c r="V11" s="10"/>
      <c r="W11" s="10"/>
    </row>
    <row r="12" spans="1:23"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_xlfn.XLOOKUP(Table2[[#This Row],[Customer ID]],customers!$A$1:$A$1001,customers!$I$1:$I$1001,,0)</f>
        <v>No</v>
      </c>
    </row>
    <row r="13" spans="1:23"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_xlfn.XLOOKUP(Table2[[#This Row],[Customer ID]],customers!$A$1:$A$1001,customers!$I$1:$I$1001,,0)</f>
        <v>Yes</v>
      </c>
    </row>
    <row r="14" spans="1:23"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_xlfn.XLOOKUP(Table2[[#This Row],[Customer ID]],customers!$A$1:$A$1001,customers!$I$1:$I$1001,,0)</f>
        <v>No</v>
      </c>
    </row>
    <row r="15" spans="1:23"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_xlfn.XLOOKUP(Table2[[#This Row],[Customer ID]],customers!$A$1:$A$1001,customers!$I$1:$I$1001,,0)</f>
        <v>No</v>
      </c>
    </row>
    <row r="16" spans="1:23"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_xlfn.XLOOKUP(Table2[[#This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_xlfn.XLOOKUP(Table2[[#This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_xlfn.XLOOKUP(Table2[[#This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_xlfn.XLOOKUP(Table2[[#This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_xlfn.XLOOKUP(Table2[[#This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_xlfn.XLOOKUP(Table2[[#This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_xlfn.XLOOKUP(Table2[[#This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_xlfn.XLOOKUP(Table2[[#This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_xlfn.XLOOKUP(Table2[[#This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_xlfn.XLOOKUP(Table2[[#This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_xlfn.XLOOKUP(Table2[[#This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_xlfn.XLOOKUP(Table2[[#This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_xlfn.XLOOKUP(Table2[[#This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_xlfn.XLOOKUP(Table2[[#This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_xlfn.XLOOKUP(Table2[[#This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_xlfn.XLOOKUP(Table2[[#This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_xlfn.XLOOKUP(Table2[[#This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_xlfn.XLOOKUP(Table2[[#This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_xlfn.XLOOKUP(Table2[[#This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_xlfn.XLOOKUP(Table2[[#This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_xlfn.XLOOKUP(Table2[[#This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_xlfn.XLOOKUP(Table2[[#This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_xlfn.XLOOKUP(Table2[[#This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_xlfn.XLOOKUP(Table2[[#This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_xlfn.XLOOKUP(Table2[[#This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_xlfn.XLOOKUP(Table2[[#This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_xlfn.XLOOKUP(Table2[[#This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_xlfn.XLOOKUP(Table2[[#This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_xlfn.XLOOKUP(Table2[[#This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_xlfn.XLOOKUP(Table2[[#This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_xlfn.XLOOKUP(Table2[[#This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_xlfn.XLOOKUP(Table2[[#This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_xlfn.XLOOKUP(Table2[[#This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_xlfn.XLOOKUP(Table2[[#This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_xlfn.XLOOKUP(Table2[[#This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_xlfn.XLOOKUP(Table2[[#This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_xlfn.XLOOKUP(Table2[[#This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_xlfn.XLOOKUP(Table2[[#This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_xlfn.XLOOKUP(Table2[[#This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_xlfn.XLOOKUP(Table2[[#This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_xlfn.XLOOKUP(Table2[[#This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_xlfn.XLOOKUP(Table2[[#This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_xlfn.XLOOKUP(Table2[[#This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_xlfn.XLOOKUP(Table2[[#This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_xlfn.XLOOKUP(Table2[[#This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_xlfn.XLOOKUP(Table2[[#This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_xlfn.XLOOKUP(Table2[[#This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_xlfn.XLOOKUP(Table2[[#This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_xlfn.XLOOKUP(Table2[[#This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_xlfn.XLOOKUP(Table2[[#This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_xlfn.XLOOKUP(Table2[[#This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_xlfn.XLOOKUP(Table2[[#This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_xlfn.XLOOKUP(Table2[[#This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_xlfn.XLOOKUP(Table2[[#This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_xlfn.XLOOKUP(Table2[[#This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_xlfn.XLOOKUP(Table2[[#This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_xlfn.XLOOKUP(Table2[[#This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_xlfn.XLOOKUP(Table2[[#This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_xlfn.XLOOKUP(Table2[[#This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_xlfn.XLOOKUP(Table2[[#This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_xlfn.XLOOKUP(Table2[[#This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_xlfn.XLOOKUP(Table2[[#This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_xlfn.XLOOKUP(Table2[[#This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_xlfn.XLOOKUP(Table2[[#This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_xlfn.XLOOKUP(Table2[[#This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_xlfn.XLOOKUP(Table2[[#This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_xlfn.XLOOKUP(Table2[[#This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_xlfn.XLOOKUP(Table2[[#This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_xlfn.XLOOKUP(Table2[[#This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_xlfn.XLOOKUP(Table2[[#This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_xlfn.XLOOKUP(Table2[[#This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_xlfn.XLOOKUP(Table2[[#This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_xlfn.XLOOKUP(Table2[[#This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_xlfn.XLOOKUP(Table2[[#This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_xlfn.XLOOKUP(Table2[[#This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_xlfn.XLOOKUP(Table2[[#This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_xlfn.XLOOKUP(Table2[[#This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_xlfn.XLOOKUP(Table2[[#This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_xlfn.XLOOKUP(Table2[[#This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_xlfn.XLOOKUP(Table2[[#This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_xlfn.XLOOKUP(Table2[[#This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_xlfn.XLOOKUP(Table2[[#This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_xlfn.XLOOKUP(Table2[[#This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_xlfn.XLOOKUP(Table2[[#This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_xlfn.XLOOKUP(Table2[[#This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_xlfn.XLOOKUP(Table2[[#This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_xlfn.XLOOKUP(Table2[[#This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_xlfn.XLOOKUP(Table2[[#This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_xlfn.XLOOKUP(Table2[[#This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_xlfn.XLOOKUP(Table2[[#This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_xlfn.XLOOKUP(Table2[[#This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_xlfn.XLOOKUP(Table2[[#This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_xlfn.XLOOKUP(Table2[[#This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_xlfn.XLOOKUP(Table2[[#This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_xlfn.XLOOKUP(Table2[[#This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_xlfn.XLOOKUP(Table2[[#This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_xlfn.XLOOKUP(Table2[[#This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_xlfn.XLOOKUP(Table2[[#This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_xlfn.XLOOKUP(Table2[[#This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_xlfn.XLOOKUP(Table2[[#This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_xlfn.XLOOKUP(Table2[[#This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_xlfn.XLOOKUP(Table2[[#This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_xlfn.XLOOKUP(Table2[[#This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_xlfn.XLOOKUP(Table2[[#This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_xlfn.XLOOKUP(Table2[[#This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_xlfn.XLOOKUP(Table2[[#This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_xlfn.XLOOKUP(Table2[[#This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_xlfn.XLOOKUP(Table2[[#This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_xlfn.XLOOKUP(Table2[[#This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_xlfn.XLOOKUP(Table2[[#This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_xlfn.XLOOKUP(Table2[[#This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_xlfn.XLOOKUP(Table2[[#This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_xlfn.XLOOKUP(Table2[[#This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_xlfn.XLOOKUP(Table2[[#This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_xlfn.XLOOKUP(Table2[[#This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_xlfn.XLOOKUP(Table2[[#This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_xlfn.XLOOKUP(Table2[[#This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_xlfn.XLOOKUP(Table2[[#This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_xlfn.XLOOKUP(Table2[[#This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_xlfn.XLOOKUP(Table2[[#This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_xlfn.XLOOKUP(Table2[[#This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_xlfn.XLOOKUP(Table2[[#This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_xlfn.XLOOKUP(Table2[[#This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_xlfn.XLOOKUP(Table2[[#This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_xlfn.XLOOKUP(Table2[[#This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_xlfn.XLOOKUP(Table2[[#This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_xlfn.XLOOKUP(Table2[[#This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_xlfn.XLOOKUP(Table2[[#This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_xlfn.XLOOKUP(Table2[[#This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_xlfn.XLOOKUP(Table2[[#This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_xlfn.XLOOKUP(Table2[[#This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_xlfn.XLOOKUP(Table2[[#This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_xlfn.XLOOKUP(Table2[[#This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_xlfn.XLOOKUP(Table2[[#This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_xlfn.XLOOKUP(Table2[[#This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_xlfn.XLOOKUP(Table2[[#This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_xlfn.XLOOKUP(Table2[[#This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_xlfn.XLOOKUP(Table2[[#This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_xlfn.XLOOKUP(Table2[[#This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_xlfn.XLOOKUP(Table2[[#This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_xlfn.XLOOKUP(Table2[[#This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_xlfn.XLOOKUP(Table2[[#This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_xlfn.XLOOKUP(Table2[[#This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_xlfn.XLOOKUP(Table2[[#This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_xlfn.XLOOKUP(Table2[[#This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_xlfn.XLOOKUP(Table2[[#This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_xlfn.XLOOKUP(Table2[[#This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_xlfn.XLOOKUP(Table2[[#This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_xlfn.XLOOKUP(Table2[[#This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_xlfn.XLOOKUP(Table2[[#This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_xlfn.XLOOKUP(Table2[[#This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_xlfn.XLOOKUP(Table2[[#This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_xlfn.XLOOKUP(Table2[[#This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_xlfn.XLOOKUP(Table2[[#This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_xlfn.XLOOKUP(Table2[[#This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_xlfn.XLOOKUP(Table2[[#This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_xlfn.XLOOKUP(Table2[[#This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_xlfn.XLOOKUP(Table2[[#This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_xlfn.XLOOKUP(Table2[[#This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_xlfn.XLOOKUP(Table2[[#This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_xlfn.XLOOKUP(Table2[[#This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_xlfn.XLOOKUP(Table2[[#This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_xlfn.XLOOKUP(Table2[[#This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_xlfn.XLOOKUP(Table2[[#This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_xlfn.XLOOKUP(Table2[[#This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_xlfn.XLOOKUP(Table2[[#This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_xlfn.XLOOKUP(Table2[[#This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_xlfn.XLOOKUP(Table2[[#This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_xlfn.XLOOKUP(Table2[[#This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_xlfn.XLOOKUP(Table2[[#This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_xlfn.XLOOKUP(Table2[[#This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_xlfn.XLOOKUP(Table2[[#This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_xlfn.XLOOKUP(Table2[[#This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_xlfn.XLOOKUP(Table2[[#This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_xlfn.XLOOKUP(Table2[[#This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_xlfn.XLOOKUP(Table2[[#This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_xlfn.XLOOKUP(Table2[[#This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_xlfn.XLOOKUP(Table2[[#This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_xlfn.XLOOKUP(Table2[[#This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_xlfn.XLOOKUP(Table2[[#This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_xlfn.XLOOKUP(Table2[[#This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_xlfn.XLOOKUP(Table2[[#This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_xlfn.XLOOKUP(Table2[[#This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_xlfn.XLOOKUP(Table2[[#This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_xlfn.XLOOKUP(Table2[[#This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_xlfn.XLOOKUP(Table2[[#This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_xlfn.XLOOKUP(Table2[[#This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_xlfn.XLOOKUP(Table2[[#This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_xlfn.XLOOKUP(Table2[[#This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_xlfn.XLOOKUP(Table2[[#This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_xlfn.XLOOKUP(Table2[[#This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_xlfn.XLOOKUP(Table2[[#This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_xlfn.XLOOKUP(Table2[[#This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_xlfn.XLOOKUP(Table2[[#This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_xlfn.XLOOKUP(Table2[[#This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_xlfn.XLOOKUP(Table2[[#This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_xlfn.XLOOKUP(Table2[[#This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_xlfn.XLOOKUP(Table2[[#This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_xlfn.XLOOKUP(Table2[[#This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_xlfn.XLOOKUP(Table2[[#This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_xlfn.XLOOKUP(Table2[[#This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_xlfn.XLOOKUP(Table2[[#This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_xlfn.XLOOKUP(Table2[[#This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_xlfn.XLOOKUP(Table2[[#This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_xlfn.XLOOKUP(Table2[[#This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_xlfn.XLOOKUP(Table2[[#This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_xlfn.XLOOKUP(Table2[[#This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_xlfn.XLOOKUP(Table2[[#This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_xlfn.XLOOKUP(Table2[[#This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_xlfn.XLOOKUP(Table2[[#This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_xlfn.XLOOKUP(Table2[[#This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_xlfn.XLOOKUP(Table2[[#This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_xlfn.XLOOKUP(Table2[[#This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_xlfn.XLOOKUP(Table2[[#This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_xlfn.XLOOKUP(Table2[[#This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_xlfn.XLOOKUP(Table2[[#This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_xlfn.XLOOKUP(Table2[[#This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_xlfn.XLOOKUP(Table2[[#This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_xlfn.XLOOKUP(Table2[[#This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_xlfn.XLOOKUP(Table2[[#This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_xlfn.XLOOKUP(Table2[[#This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_xlfn.XLOOKUP(Table2[[#This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_xlfn.XLOOKUP(Table2[[#This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_xlfn.XLOOKUP(Table2[[#This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_xlfn.XLOOKUP(Table2[[#This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_xlfn.XLOOKUP(Table2[[#This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_xlfn.XLOOKUP(Table2[[#This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_xlfn.XLOOKUP(Table2[[#This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_xlfn.XLOOKUP(Table2[[#This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_xlfn.XLOOKUP(Table2[[#This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_xlfn.XLOOKUP(Table2[[#This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_xlfn.XLOOKUP(Table2[[#This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_xlfn.XLOOKUP(Table2[[#This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_xlfn.XLOOKUP(Table2[[#This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_xlfn.XLOOKUP(Table2[[#This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_xlfn.XLOOKUP(Table2[[#This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_xlfn.XLOOKUP(Table2[[#This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_xlfn.XLOOKUP(Table2[[#This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_xlfn.XLOOKUP(Table2[[#This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_xlfn.XLOOKUP(Table2[[#This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_xlfn.XLOOKUP(Table2[[#This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_xlfn.XLOOKUP(Table2[[#This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_xlfn.XLOOKUP(Table2[[#This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_xlfn.XLOOKUP(Table2[[#This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_xlfn.XLOOKUP(Table2[[#This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_xlfn.XLOOKUP(Table2[[#This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_xlfn.XLOOKUP(Table2[[#This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_xlfn.XLOOKUP(Table2[[#This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_xlfn.XLOOKUP(Table2[[#This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_xlfn.XLOOKUP(Table2[[#This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_xlfn.XLOOKUP(Table2[[#This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_xlfn.XLOOKUP(Table2[[#This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_xlfn.XLOOKUP(Table2[[#This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_xlfn.XLOOKUP(Table2[[#This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_xlfn.XLOOKUP(Table2[[#This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_xlfn.XLOOKUP(Table2[[#This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_xlfn.XLOOKUP(Table2[[#This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_xlfn.XLOOKUP(Table2[[#This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_xlfn.XLOOKUP(Table2[[#This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_xlfn.XLOOKUP(Table2[[#This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_xlfn.XLOOKUP(Table2[[#This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_xlfn.XLOOKUP(Table2[[#This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_xlfn.XLOOKUP(Table2[[#This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_xlfn.XLOOKUP(Table2[[#This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_xlfn.XLOOKUP(Table2[[#This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_xlfn.XLOOKUP(Table2[[#This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_xlfn.XLOOKUP(Table2[[#This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_xlfn.XLOOKUP(Table2[[#This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_xlfn.XLOOKUP(Table2[[#This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_xlfn.XLOOKUP(Table2[[#This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_xlfn.XLOOKUP(Table2[[#This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_xlfn.XLOOKUP(Table2[[#This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_xlfn.XLOOKUP(Table2[[#This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_xlfn.XLOOKUP(Table2[[#This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_xlfn.XLOOKUP(Table2[[#This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_xlfn.XLOOKUP(Table2[[#This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_xlfn.XLOOKUP(Table2[[#This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_xlfn.XLOOKUP(Table2[[#This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_xlfn.XLOOKUP(Table2[[#This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_xlfn.XLOOKUP(Table2[[#This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_xlfn.XLOOKUP(Table2[[#This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_xlfn.XLOOKUP(Table2[[#This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_xlfn.XLOOKUP(Table2[[#This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_xlfn.XLOOKUP(Table2[[#This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_xlfn.XLOOKUP(Table2[[#This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_xlfn.XLOOKUP(Table2[[#This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_xlfn.XLOOKUP(Table2[[#This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_xlfn.XLOOKUP(Table2[[#This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_xlfn.XLOOKUP(Table2[[#This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_xlfn.XLOOKUP(Table2[[#This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_xlfn.XLOOKUP(Table2[[#This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_xlfn.XLOOKUP(Table2[[#This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_xlfn.XLOOKUP(Table2[[#This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_xlfn.XLOOKUP(Table2[[#This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_xlfn.XLOOKUP(Table2[[#This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_xlfn.XLOOKUP(Table2[[#This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_xlfn.XLOOKUP(Table2[[#This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_xlfn.XLOOKUP(Table2[[#This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_xlfn.XLOOKUP(Table2[[#This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_xlfn.XLOOKUP(Table2[[#This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_xlfn.XLOOKUP(Table2[[#This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_xlfn.XLOOKUP(Table2[[#This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_xlfn.XLOOKUP(Table2[[#This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_xlfn.XLOOKUP(Table2[[#This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_xlfn.XLOOKUP(Table2[[#This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_xlfn.XLOOKUP(Table2[[#This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_xlfn.XLOOKUP(Table2[[#This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_xlfn.XLOOKUP(Table2[[#This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_xlfn.XLOOKUP(Table2[[#This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_xlfn.XLOOKUP(Table2[[#This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_xlfn.XLOOKUP(Table2[[#This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_xlfn.XLOOKUP(Table2[[#This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_xlfn.XLOOKUP(Table2[[#This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_xlfn.XLOOKUP(Table2[[#This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_xlfn.XLOOKUP(Table2[[#This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_xlfn.XLOOKUP(Table2[[#This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_xlfn.XLOOKUP(Table2[[#This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_xlfn.XLOOKUP(Table2[[#This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_xlfn.XLOOKUP(Table2[[#This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_xlfn.XLOOKUP(Table2[[#This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_xlfn.XLOOKUP(Table2[[#This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_xlfn.XLOOKUP(Table2[[#This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_xlfn.XLOOKUP(Table2[[#This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_xlfn.XLOOKUP(Table2[[#This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_xlfn.XLOOKUP(Table2[[#This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_xlfn.XLOOKUP(Table2[[#This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_xlfn.XLOOKUP(Table2[[#This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_xlfn.XLOOKUP(Table2[[#This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_xlfn.XLOOKUP(Table2[[#This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_xlfn.XLOOKUP(Table2[[#This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_xlfn.XLOOKUP(Table2[[#This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_xlfn.XLOOKUP(Table2[[#This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_xlfn.XLOOKUP(Table2[[#This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_xlfn.XLOOKUP(Table2[[#This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_xlfn.XLOOKUP(Table2[[#This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_xlfn.XLOOKUP(Table2[[#This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_xlfn.XLOOKUP(Table2[[#This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_xlfn.XLOOKUP(Table2[[#This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_xlfn.XLOOKUP(Table2[[#This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_xlfn.XLOOKUP(Table2[[#This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_xlfn.XLOOKUP(Table2[[#This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_xlfn.XLOOKUP(Table2[[#This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_xlfn.XLOOKUP(Table2[[#This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_xlfn.XLOOKUP(Table2[[#This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_xlfn.XLOOKUP(Table2[[#This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_xlfn.XLOOKUP(Table2[[#This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_xlfn.XLOOKUP(Table2[[#This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_xlfn.XLOOKUP(Table2[[#This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_xlfn.XLOOKUP(Table2[[#This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_xlfn.XLOOKUP(Table2[[#This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_xlfn.XLOOKUP(Table2[[#This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_xlfn.XLOOKUP(Table2[[#This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_xlfn.XLOOKUP(Table2[[#This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_xlfn.XLOOKUP(Table2[[#This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_xlfn.XLOOKUP(Table2[[#This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_xlfn.XLOOKUP(Table2[[#This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_xlfn.XLOOKUP(Table2[[#This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_xlfn.XLOOKUP(Table2[[#This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_xlfn.XLOOKUP(Table2[[#This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_xlfn.XLOOKUP(Table2[[#This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_xlfn.XLOOKUP(Table2[[#This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_xlfn.XLOOKUP(Table2[[#This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_xlfn.XLOOKUP(Table2[[#This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_xlfn.XLOOKUP(Table2[[#This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_xlfn.XLOOKUP(Table2[[#This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_xlfn.XLOOKUP(Table2[[#This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_xlfn.XLOOKUP(Table2[[#This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_xlfn.XLOOKUP(Table2[[#This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_xlfn.XLOOKUP(Table2[[#This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_xlfn.XLOOKUP(Table2[[#This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_xlfn.XLOOKUP(Table2[[#This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_xlfn.XLOOKUP(Table2[[#This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_xlfn.XLOOKUP(Table2[[#This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_xlfn.XLOOKUP(Table2[[#This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_xlfn.XLOOKUP(Table2[[#This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_xlfn.XLOOKUP(Table2[[#This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_xlfn.XLOOKUP(Table2[[#This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_xlfn.XLOOKUP(Table2[[#This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_xlfn.XLOOKUP(Table2[[#This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_xlfn.XLOOKUP(Table2[[#This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_xlfn.XLOOKUP(Table2[[#This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_xlfn.XLOOKUP(Table2[[#This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_xlfn.XLOOKUP(Table2[[#This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_xlfn.XLOOKUP(Table2[[#This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_xlfn.XLOOKUP(Table2[[#This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_xlfn.XLOOKUP(Table2[[#This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_xlfn.XLOOKUP(Table2[[#This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_xlfn.XLOOKUP(Table2[[#This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_xlfn.XLOOKUP(Table2[[#This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_xlfn.XLOOKUP(Table2[[#This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_xlfn.XLOOKUP(Table2[[#This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_xlfn.XLOOKUP(Table2[[#This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_xlfn.XLOOKUP(Table2[[#This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_xlfn.XLOOKUP(Table2[[#This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_xlfn.XLOOKUP(Table2[[#This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_xlfn.XLOOKUP(Table2[[#This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_xlfn.XLOOKUP(Table2[[#This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_xlfn.XLOOKUP(Table2[[#This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_xlfn.XLOOKUP(Table2[[#This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_xlfn.XLOOKUP(Table2[[#This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_xlfn.XLOOKUP(Table2[[#This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_xlfn.XLOOKUP(Table2[[#This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_xlfn.XLOOKUP(Table2[[#This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_xlfn.XLOOKUP(Table2[[#This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_xlfn.XLOOKUP(Table2[[#This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_xlfn.XLOOKUP(Table2[[#This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_xlfn.XLOOKUP(Table2[[#This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_xlfn.XLOOKUP(Table2[[#This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_xlfn.XLOOKUP(Table2[[#This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_xlfn.XLOOKUP(Table2[[#This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_xlfn.XLOOKUP(Table2[[#This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_xlfn.XLOOKUP(Table2[[#This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_xlfn.XLOOKUP(Table2[[#This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_xlfn.XLOOKUP(Table2[[#This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_xlfn.XLOOKUP(Table2[[#This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_xlfn.XLOOKUP(Table2[[#This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_xlfn.XLOOKUP(Table2[[#This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_xlfn.XLOOKUP(Table2[[#This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_xlfn.XLOOKUP(Table2[[#This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_xlfn.XLOOKUP(Table2[[#This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_xlfn.XLOOKUP(Table2[[#This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_xlfn.XLOOKUP(Table2[[#This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_xlfn.XLOOKUP(Table2[[#This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_xlfn.XLOOKUP(Table2[[#This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_xlfn.XLOOKUP(Table2[[#This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_xlfn.XLOOKUP(Table2[[#This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_xlfn.XLOOKUP(Table2[[#This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_xlfn.XLOOKUP(Table2[[#This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_xlfn.XLOOKUP(Table2[[#This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_xlfn.XLOOKUP(Table2[[#This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_xlfn.XLOOKUP(Table2[[#This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_xlfn.XLOOKUP(Table2[[#This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_xlfn.XLOOKUP(Table2[[#This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_xlfn.XLOOKUP(Table2[[#This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_xlfn.XLOOKUP(Table2[[#This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_xlfn.XLOOKUP(Table2[[#This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_xlfn.XLOOKUP(Table2[[#This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_xlfn.XLOOKUP(Table2[[#This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_xlfn.XLOOKUP(Table2[[#This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_xlfn.XLOOKUP(Table2[[#This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_xlfn.XLOOKUP(Table2[[#This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_xlfn.XLOOKUP(Table2[[#This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_xlfn.XLOOKUP(Table2[[#This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_xlfn.XLOOKUP(Table2[[#This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_xlfn.XLOOKUP(Table2[[#This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_xlfn.XLOOKUP(Table2[[#This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_xlfn.XLOOKUP(Table2[[#This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_xlfn.XLOOKUP(Table2[[#This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_xlfn.XLOOKUP(Table2[[#This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_xlfn.XLOOKUP(Table2[[#This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_xlfn.XLOOKUP(Table2[[#This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_xlfn.XLOOKUP(Table2[[#This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_xlfn.XLOOKUP(Table2[[#This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_xlfn.XLOOKUP(Table2[[#This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_xlfn.XLOOKUP(Table2[[#This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_xlfn.XLOOKUP(Table2[[#This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_xlfn.XLOOKUP(Table2[[#This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_xlfn.XLOOKUP(Table2[[#This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_xlfn.XLOOKUP(Table2[[#This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_xlfn.XLOOKUP(Table2[[#This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_xlfn.XLOOKUP(Table2[[#This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_xlfn.XLOOKUP(Table2[[#This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_xlfn.XLOOKUP(Table2[[#This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_xlfn.XLOOKUP(Table2[[#This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_xlfn.XLOOKUP(Table2[[#This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_xlfn.XLOOKUP(Table2[[#This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_xlfn.XLOOKUP(Table2[[#This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_xlfn.XLOOKUP(Table2[[#This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_xlfn.XLOOKUP(Table2[[#This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_xlfn.XLOOKUP(Table2[[#This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_xlfn.XLOOKUP(Table2[[#This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_xlfn.XLOOKUP(Table2[[#This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_xlfn.XLOOKUP(Table2[[#This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_xlfn.XLOOKUP(Table2[[#This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_xlfn.XLOOKUP(Table2[[#This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_xlfn.XLOOKUP(Table2[[#This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_xlfn.XLOOKUP(Table2[[#This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_xlfn.XLOOKUP(Table2[[#This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_xlfn.XLOOKUP(Table2[[#This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_xlfn.XLOOKUP(Table2[[#This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_xlfn.XLOOKUP(Table2[[#This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_xlfn.XLOOKUP(Table2[[#This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_xlfn.XLOOKUP(Table2[[#This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_xlfn.XLOOKUP(Table2[[#This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_xlfn.XLOOKUP(Table2[[#This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_xlfn.XLOOKUP(Table2[[#This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_xlfn.XLOOKUP(Table2[[#This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_xlfn.XLOOKUP(Table2[[#This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_xlfn.XLOOKUP(Table2[[#This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_xlfn.XLOOKUP(Table2[[#This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_xlfn.XLOOKUP(Table2[[#This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_xlfn.XLOOKUP(Table2[[#This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_xlfn.XLOOKUP(Table2[[#This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_xlfn.XLOOKUP(Table2[[#This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_xlfn.XLOOKUP(Table2[[#This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_xlfn.XLOOKUP(Table2[[#This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_xlfn.XLOOKUP(Table2[[#This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_xlfn.XLOOKUP(Table2[[#This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_xlfn.XLOOKUP(Table2[[#This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_xlfn.XLOOKUP(Table2[[#This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_xlfn.XLOOKUP(Table2[[#This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_xlfn.XLOOKUP(Table2[[#This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_xlfn.XLOOKUP(Table2[[#This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_xlfn.XLOOKUP(Table2[[#This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_xlfn.XLOOKUP(Table2[[#This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_xlfn.XLOOKUP(Table2[[#This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_xlfn.XLOOKUP(Table2[[#This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_xlfn.XLOOKUP(Table2[[#This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_xlfn.XLOOKUP(Table2[[#This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_xlfn.XLOOKUP(Table2[[#This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_xlfn.XLOOKUP(Table2[[#This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_xlfn.XLOOKUP(Table2[[#This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_xlfn.XLOOKUP(Table2[[#This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_xlfn.XLOOKUP(Table2[[#This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_xlfn.XLOOKUP(Table2[[#This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_xlfn.XLOOKUP(Table2[[#This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_xlfn.XLOOKUP(Table2[[#This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_xlfn.XLOOKUP(Table2[[#This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_xlfn.XLOOKUP(Table2[[#This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_xlfn.XLOOKUP(Table2[[#This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_xlfn.XLOOKUP(Table2[[#This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_xlfn.XLOOKUP(Table2[[#This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_xlfn.XLOOKUP(Table2[[#This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_xlfn.XLOOKUP(Table2[[#This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_xlfn.XLOOKUP(Table2[[#This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_xlfn.XLOOKUP(Table2[[#This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_xlfn.XLOOKUP(Table2[[#This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_xlfn.XLOOKUP(Table2[[#This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_xlfn.XLOOKUP(Table2[[#This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_xlfn.XLOOKUP(Table2[[#This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_xlfn.XLOOKUP(Table2[[#This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_xlfn.XLOOKUP(Table2[[#This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_xlfn.XLOOKUP(Table2[[#This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_xlfn.XLOOKUP(Table2[[#This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_xlfn.XLOOKUP(Table2[[#This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_xlfn.XLOOKUP(Table2[[#This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_xlfn.XLOOKUP(Table2[[#This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_xlfn.XLOOKUP(Table2[[#This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_xlfn.XLOOKUP(Table2[[#This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_xlfn.XLOOKUP(Table2[[#This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_xlfn.XLOOKUP(Table2[[#This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_xlfn.XLOOKUP(Table2[[#This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_xlfn.XLOOKUP(Table2[[#This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_xlfn.XLOOKUP(Table2[[#This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_xlfn.XLOOKUP(Table2[[#This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_xlfn.XLOOKUP(Table2[[#This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_xlfn.XLOOKUP(Table2[[#This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_xlfn.XLOOKUP(Table2[[#This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_xlfn.XLOOKUP(Table2[[#This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_xlfn.XLOOKUP(Table2[[#This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_xlfn.XLOOKUP(Table2[[#This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_xlfn.XLOOKUP(Table2[[#This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_xlfn.XLOOKUP(Table2[[#This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_xlfn.XLOOKUP(Table2[[#This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_xlfn.XLOOKUP(Table2[[#This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_xlfn.XLOOKUP(Table2[[#This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_xlfn.XLOOKUP(Table2[[#This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_xlfn.XLOOKUP(Table2[[#This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_xlfn.XLOOKUP(Table2[[#This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_xlfn.XLOOKUP(Table2[[#This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_xlfn.XLOOKUP(Table2[[#This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_xlfn.XLOOKUP(Table2[[#This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_xlfn.XLOOKUP(Table2[[#This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_xlfn.XLOOKUP(Table2[[#This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_xlfn.XLOOKUP(Table2[[#This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_xlfn.XLOOKUP(Table2[[#This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_xlfn.XLOOKUP(Table2[[#This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_xlfn.XLOOKUP(Table2[[#This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_xlfn.XLOOKUP(Table2[[#This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_xlfn.XLOOKUP(Table2[[#This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_xlfn.XLOOKUP(Table2[[#This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_xlfn.XLOOKUP(Table2[[#This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_xlfn.XLOOKUP(Table2[[#This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_xlfn.XLOOKUP(Table2[[#This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_xlfn.XLOOKUP(Table2[[#This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_xlfn.XLOOKUP(Table2[[#This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_xlfn.XLOOKUP(Table2[[#This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_xlfn.XLOOKUP(Table2[[#This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_xlfn.XLOOKUP(Table2[[#This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_xlfn.XLOOKUP(Table2[[#This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_xlfn.XLOOKUP(Table2[[#This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_xlfn.XLOOKUP(Table2[[#This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_xlfn.XLOOKUP(Table2[[#This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_xlfn.XLOOKUP(Table2[[#This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_xlfn.XLOOKUP(Table2[[#This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_xlfn.XLOOKUP(Table2[[#This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_xlfn.XLOOKUP(Table2[[#This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_xlfn.XLOOKUP(Table2[[#This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_xlfn.XLOOKUP(Table2[[#This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_xlfn.XLOOKUP(Table2[[#This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_xlfn.XLOOKUP(Table2[[#This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_xlfn.XLOOKUP(Table2[[#This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_xlfn.XLOOKUP(Table2[[#This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_xlfn.XLOOKUP(Table2[[#This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_xlfn.XLOOKUP(Table2[[#This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_xlfn.XLOOKUP(Table2[[#This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_xlfn.XLOOKUP(Table2[[#This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_xlfn.XLOOKUP(Table2[[#This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_xlfn.XLOOKUP(Table2[[#This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_xlfn.XLOOKUP(Table2[[#This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_xlfn.XLOOKUP(Table2[[#This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_xlfn.XLOOKUP(Table2[[#This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_xlfn.XLOOKUP(Table2[[#This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_xlfn.XLOOKUP(Table2[[#This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_xlfn.XLOOKUP(Table2[[#This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_xlfn.XLOOKUP(Table2[[#This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_xlfn.XLOOKUP(Table2[[#This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_xlfn.XLOOKUP(Table2[[#This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_xlfn.XLOOKUP(Table2[[#This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_xlfn.XLOOKUP(Table2[[#This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_xlfn.XLOOKUP(Table2[[#This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_xlfn.XLOOKUP(Table2[[#This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_xlfn.XLOOKUP(Table2[[#This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_xlfn.XLOOKUP(Table2[[#This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_xlfn.XLOOKUP(Table2[[#This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_xlfn.XLOOKUP(Table2[[#This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_xlfn.XLOOKUP(Table2[[#This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_xlfn.XLOOKUP(Table2[[#This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_xlfn.XLOOKUP(Table2[[#This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_xlfn.XLOOKUP(Table2[[#This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_xlfn.XLOOKUP(Table2[[#This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_xlfn.XLOOKUP(Table2[[#This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_xlfn.XLOOKUP(Table2[[#This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_xlfn.XLOOKUP(Table2[[#This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_xlfn.XLOOKUP(Table2[[#This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_xlfn.XLOOKUP(Table2[[#This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_xlfn.XLOOKUP(Table2[[#This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_xlfn.XLOOKUP(Table2[[#This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_xlfn.XLOOKUP(Table2[[#This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_xlfn.XLOOKUP(Table2[[#This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_xlfn.XLOOKUP(Table2[[#This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_xlfn.XLOOKUP(Table2[[#This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_xlfn.XLOOKUP(Table2[[#This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_xlfn.XLOOKUP(Table2[[#This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_xlfn.XLOOKUP(Table2[[#This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_xlfn.XLOOKUP(Table2[[#This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_xlfn.XLOOKUP(Table2[[#This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_xlfn.XLOOKUP(Table2[[#This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_xlfn.XLOOKUP(Table2[[#This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_xlfn.XLOOKUP(Table2[[#This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_xlfn.XLOOKUP(Table2[[#This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_xlfn.XLOOKUP(Table2[[#This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_xlfn.XLOOKUP(Table2[[#This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_xlfn.XLOOKUP(Table2[[#This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_xlfn.XLOOKUP(Table2[[#This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_xlfn.XLOOKUP(Table2[[#This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_xlfn.XLOOKUP(Table2[[#This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_xlfn.XLOOKUP(Table2[[#This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_xlfn.XLOOKUP(Table2[[#This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_xlfn.XLOOKUP(Table2[[#This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_xlfn.XLOOKUP(Table2[[#This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_xlfn.XLOOKUP(Table2[[#This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_xlfn.XLOOKUP(Table2[[#This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_xlfn.XLOOKUP(Table2[[#This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_xlfn.XLOOKUP(Table2[[#This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_xlfn.XLOOKUP(Table2[[#This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_xlfn.XLOOKUP(Table2[[#This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_xlfn.XLOOKUP(Table2[[#This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_xlfn.XLOOKUP(Table2[[#This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_xlfn.XLOOKUP(Table2[[#This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_xlfn.XLOOKUP(Table2[[#This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_xlfn.XLOOKUP(Table2[[#This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_xlfn.XLOOKUP(Table2[[#This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_xlfn.XLOOKUP(Table2[[#This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_xlfn.XLOOKUP(Table2[[#This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_xlfn.XLOOKUP(Table2[[#This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_xlfn.XLOOKUP(Table2[[#This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_xlfn.XLOOKUP(Table2[[#This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_xlfn.XLOOKUP(Table2[[#This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_xlfn.XLOOKUP(Table2[[#This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_xlfn.XLOOKUP(Table2[[#This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_xlfn.XLOOKUP(Table2[[#This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_xlfn.XLOOKUP(Table2[[#This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_xlfn.XLOOKUP(Table2[[#This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_xlfn.XLOOKUP(Table2[[#This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_xlfn.XLOOKUP(Table2[[#This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_xlfn.XLOOKUP(Table2[[#This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_xlfn.XLOOKUP(Table2[[#This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_xlfn.XLOOKUP(Table2[[#This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_xlfn.XLOOKUP(Table2[[#This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_xlfn.XLOOKUP(Table2[[#This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_xlfn.XLOOKUP(Table2[[#This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_xlfn.XLOOKUP(Table2[[#This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_xlfn.XLOOKUP(Table2[[#This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_xlfn.XLOOKUP(Table2[[#This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_xlfn.XLOOKUP(Table2[[#This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_xlfn.XLOOKUP(Table2[[#This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_xlfn.XLOOKUP(Table2[[#This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_xlfn.XLOOKUP(Table2[[#This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_xlfn.XLOOKUP(Table2[[#This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_xlfn.XLOOKUP(Table2[[#This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_xlfn.XLOOKUP(Table2[[#This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_xlfn.XLOOKUP(Table2[[#This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_xlfn.XLOOKUP(Table2[[#This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_xlfn.XLOOKUP(Table2[[#This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_xlfn.XLOOKUP(Table2[[#This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_xlfn.XLOOKUP(Table2[[#This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_xlfn.XLOOKUP(Table2[[#This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_xlfn.XLOOKUP(Table2[[#This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_xlfn.XLOOKUP(Table2[[#This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_xlfn.XLOOKUP(Table2[[#This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_xlfn.XLOOKUP(Table2[[#This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_xlfn.XLOOKUP(Table2[[#This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_xlfn.XLOOKUP(Table2[[#This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_xlfn.XLOOKUP(Table2[[#This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_xlfn.XLOOKUP(Table2[[#This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_xlfn.XLOOKUP(Table2[[#This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_xlfn.XLOOKUP(Table2[[#This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_xlfn.XLOOKUP(Table2[[#This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_xlfn.XLOOKUP(Table2[[#This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_xlfn.XLOOKUP(Table2[[#This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_xlfn.XLOOKUP(Table2[[#This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_xlfn.XLOOKUP(Table2[[#This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_xlfn.XLOOKUP(Table2[[#This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_xlfn.XLOOKUP(Table2[[#This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_xlfn.XLOOKUP(Table2[[#This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_xlfn.XLOOKUP(Table2[[#This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_xlfn.XLOOKUP(Table2[[#This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_xlfn.XLOOKUP(Table2[[#This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_xlfn.XLOOKUP(Table2[[#This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_xlfn.XLOOKUP(Table2[[#This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_xlfn.XLOOKUP(Table2[[#This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_xlfn.XLOOKUP(Table2[[#This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_xlfn.XLOOKUP(Table2[[#This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_xlfn.XLOOKUP(Table2[[#This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_xlfn.XLOOKUP(Table2[[#This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_xlfn.XLOOKUP(Table2[[#This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_xlfn.XLOOKUP(Table2[[#This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_xlfn.XLOOKUP(Table2[[#This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_xlfn.XLOOKUP(Table2[[#This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_xlfn.XLOOKUP(Table2[[#This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_xlfn.XLOOKUP(Table2[[#This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_xlfn.XLOOKUP(Table2[[#This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_xlfn.XLOOKUP(Table2[[#This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_xlfn.XLOOKUP(Table2[[#This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_xlfn.XLOOKUP(Table2[[#This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_xlfn.XLOOKUP(Table2[[#This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_xlfn.XLOOKUP(Table2[[#This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_xlfn.XLOOKUP(Table2[[#This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_xlfn.XLOOKUP(Table2[[#This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_xlfn.XLOOKUP(Table2[[#This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_xlfn.XLOOKUP(Table2[[#This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_xlfn.XLOOKUP(Table2[[#This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_xlfn.XLOOKUP(Table2[[#This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_xlfn.XLOOKUP(Table2[[#This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_xlfn.XLOOKUP(Table2[[#This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_xlfn.XLOOKUP(Table2[[#This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_xlfn.XLOOKUP(Table2[[#This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_xlfn.XLOOKUP(Table2[[#This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_xlfn.XLOOKUP(Table2[[#This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_xlfn.XLOOKUP(Table2[[#This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_xlfn.XLOOKUP(Table2[[#This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_xlfn.XLOOKUP(Table2[[#This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_xlfn.XLOOKUP(Table2[[#This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_xlfn.XLOOKUP(Table2[[#This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_xlfn.XLOOKUP(Table2[[#This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_xlfn.XLOOKUP(Table2[[#This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_xlfn.XLOOKUP(Table2[[#This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_xlfn.XLOOKUP(Table2[[#This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_xlfn.XLOOKUP(Table2[[#This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_xlfn.XLOOKUP(Table2[[#This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_xlfn.XLOOKUP(Table2[[#This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_xlfn.XLOOKUP(Table2[[#This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_xlfn.XLOOKUP(Table2[[#This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_xlfn.XLOOKUP(Table2[[#This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_xlfn.XLOOKUP(Table2[[#This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_xlfn.XLOOKUP(Table2[[#This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_xlfn.XLOOKUP(Table2[[#This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_xlfn.XLOOKUP(Table2[[#This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_xlfn.XLOOKUP(Table2[[#This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_xlfn.XLOOKUP(Table2[[#This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_xlfn.XLOOKUP(Table2[[#This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_xlfn.XLOOKUP(Table2[[#This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_xlfn.XLOOKUP(Table2[[#This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_xlfn.XLOOKUP(Table2[[#This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_xlfn.XLOOKUP(Table2[[#This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_xlfn.XLOOKUP(Table2[[#This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_xlfn.XLOOKUP(Table2[[#This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_xlfn.XLOOKUP(Table2[[#This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_xlfn.XLOOKUP(Table2[[#This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_xlfn.XLOOKUP(Table2[[#This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_xlfn.XLOOKUP(Table2[[#This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_xlfn.XLOOKUP(Table2[[#This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_xlfn.XLOOKUP(Table2[[#This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_xlfn.XLOOKUP(Table2[[#This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_xlfn.XLOOKUP(Table2[[#This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_xlfn.XLOOKUP(Table2[[#This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_xlfn.XLOOKUP(Table2[[#This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_xlfn.XLOOKUP(Table2[[#This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_xlfn.XLOOKUP(Table2[[#This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_xlfn.XLOOKUP(Table2[[#This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_xlfn.XLOOKUP(Table2[[#This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_xlfn.XLOOKUP(Table2[[#This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_xlfn.XLOOKUP(Table2[[#This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_xlfn.XLOOKUP(Table2[[#This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_xlfn.XLOOKUP(Table2[[#This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_xlfn.XLOOKUP(Table2[[#This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_xlfn.XLOOKUP(Table2[[#This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_xlfn.XLOOKUP(Table2[[#This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_xlfn.XLOOKUP(Table2[[#This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_xlfn.XLOOKUP(Table2[[#This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_xlfn.XLOOKUP(Table2[[#This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_xlfn.XLOOKUP(Table2[[#This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_xlfn.XLOOKUP(Table2[[#This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_xlfn.XLOOKUP(Table2[[#This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_xlfn.XLOOKUP(Table2[[#This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_xlfn.XLOOKUP(Table2[[#This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_xlfn.XLOOKUP(Table2[[#This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_xlfn.XLOOKUP(Table2[[#This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_xlfn.XLOOKUP(Table2[[#This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_xlfn.XLOOKUP(Table2[[#This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_xlfn.XLOOKUP(Table2[[#This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_xlfn.XLOOKUP(Table2[[#This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_xlfn.XLOOKUP(Table2[[#This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_xlfn.XLOOKUP(Table2[[#This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_xlfn.XLOOKUP(Table2[[#This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_xlfn.XLOOKUP(Table2[[#This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_xlfn.XLOOKUP(Table2[[#This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_xlfn.XLOOKUP(Table2[[#This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_xlfn.XLOOKUP(Table2[[#This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_xlfn.XLOOKUP(Table2[[#This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_xlfn.XLOOKUP(Table2[[#This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_xlfn.XLOOKUP(Table2[[#This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_xlfn.XLOOKUP(Table2[[#This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_xlfn.XLOOKUP(Table2[[#This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_xlfn.XLOOKUP(Table2[[#This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_xlfn.XLOOKUP(Table2[[#This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_xlfn.XLOOKUP(Table2[[#This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_xlfn.XLOOKUP(Table2[[#This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_xlfn.XLOOKUP(Table2[[#This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_xlfn.XLOOKUP(Table2[[#This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_xlfn.XLOOKUP(Table2[[#This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_xlfn.XLOOKUP(Table2[[#This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_xlfn.XLOOKUP(Table2[[#This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_xlfn.XLOOKUP(Table2[[#This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_xlfn.XLOOKUP(Table2[[#This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_xlfn.XLOOKUP(Table2[[#This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_xlfn.XLOOKUP(Table2[[#This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_xlfn.XLOOKUP(Table2[[#This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_xlfn.XLOOKUP(Table2[[#This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_xlfn.XLOOKUP(Table2[[#This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_xlfn.XLOOKUP(Table2[[#This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_xlfn.XLOOKUP(Table2[[#This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_xlfn.XLOOKUP(Table2[[#This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_xlfn.XLOOKUP(Table2[[#This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_xlfn.XLOOKUP(Table2[[#This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_xlfn.XLOOKUP(Table2[[#This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_xlfn.XLOOKUP(Table2[[#This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_xlfn.XLOOKUP(Table2[[#This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_xlfn.XLOOKUP(Table2[[#This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_xlfn.XLOOKUP(Table2[[#This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_xlfn.XLOOKUP(Table2[[#This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_xlfn.XLOOKUP(Table2[[#This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_xlfn.XLOOKUP(Table2[[#This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_xlfn.XLOOKUP(Table2[[#This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_xlfn.XLOOKUP(Table2[[#This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_xlfn.XLOOKUP(Table2[[#This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_xlfn.XLOOKUP(Table2[[#This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_xlfn.XLOOKUP(Table2[[#This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_xlfn.XLOOKUP(Table2[[#This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_xlfn.XLOOKUP(Table2[[#This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_xlfn.XLOOKUP(Table2[[#This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_xlfn.XLOOKUP(Table2[[#This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_xlfn.XLOOKUP(Table2[[#This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_xlfn.XLOOKUP(Table2[[#This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_xlfn.XLOOKUP(Table2[[#This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_xlfn.XLOOKUP(Table2[[#This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_xlfn.XLOOKUP(Table2[[#This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_xlfn.XLOOKUP(Table2[[#This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_xlfn.XLOOKUP(Table2[[#This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_xlfn.XLOOKUP(Table2[[#This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_xlfn.XLOOKUP(Table2[[#This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_xlfn.XLOOKUP(Table2[[#This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_xlfn.XLOOKUP(Table2[[#This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_xlfn.XLOOKUP(Table2[[#This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_xlfn.XLOOKUP(Table2[[#This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_xlfn.XLOOKUP(Table2[[#This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_xlfn.XLOOKUP(Table2[[#This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_xlfn.XLOOKUP(Table2[[#This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_xlfn.XLOOKUP(Table2[[#This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_xlfn.XLOOKUP(Table2[[#This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_xlfn.XLOOKUP(Table2[[#This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_xlfn.XLOOKUP(Table2[[#This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_xlfn.XLOOKUP(Table2[[#This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_xlfn.XLOOKUP(Table2[[#This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_xlfn.XLOOKUP(Table2[[#This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_xlfn.XLOOKUP(Table2[[#This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_xlfn.XLOOKUP(Table2[[#This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_xlfn.XLOOKUP(Table2[[#This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_xlfn.XLOOKUP(Table2[[#This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_xlfn.XLOOKUP(Table2[[#This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_xlfn.XLOOKUP(Table2[[#This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_xlfn.XLOOKUP(Table2[[#This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_xlfn.XLOOKUP(Table2[[#This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_xlfn.XLOOKUP(Table2[[#This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_xlfn.XLOOKUP(Table2[[#This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_xlfn.XLOOKUP(Table2[[#This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_xlfn.XLOOKUP(Table2[[#This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_xlfn.XLOOKUP(Table2[[#This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_xlfn.XLOOKUP(Table2[[#This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_xlfn.XLOOKUP(Table2[[#This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_xlfn.XLOOKUP(Table2[[#This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_xlfn.XLOOKUP(Table2[[#This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_xlfn.XLOOKUP(Table2[[#This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_xlfn.XLOOKUP(Table2[[#This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_xlfn.XLOOKUP(Table2[[#This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_xlfn.XLOOKUP(Table2[[#This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_xlfn.XLOOKUP(Table2[[#This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_xlfn.XLOOKUP(Table2[[#This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_xlfn.XLOOKUP(Table2[[#This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_xlfn.XLOOKUP(Table2[[#This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_xlfn.XLOOKUP(Table2[[#This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_xlfn.XLOOKUP(Table2[[#This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_xlfn.XLOOKUP(Table2[[#This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_xlfn.XLOOKUP(Table2[[#This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_xlfn.XLOOKUP(Table2[[#This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_xlfn.XLOOKUP(Table2[[#This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_xlfn.XLOOKUP(Table2[[#This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_xlfn.XLOOKUP(Table2[[#This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_xlfn.XLOOKUP(Table2[[#This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_xlfn.XLOOKUP(Table2[[#This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_xlfn.XLOOKUP(Table2[[#This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_xlfn.XLOOKUP(Table2[[#This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_xlfn.XLOOKUP(Table2[[#This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_xlfn.XLOOKUP(Table2[[#This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_xlfn.XLOOKUP(Table2[[#This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_xlfn.XLOOKUP(Table2[[#This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_xlfn.XLOOKUP(Table2[[#This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_xlfn.XLOOKUP(Table2[[#This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_xlfn.XLOOKUP(Table2[[#This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_xlfn.XLOOKUP(Table2[[#This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_xlfn.XLOOKUP(Table2[[#This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_xlfn.XLOOKUP(Table2[[#This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_xlfn.XLOOKUP(Table2[[#This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_xlfn.XLOOKUP(Table2[[#This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_xlfn.XLOOKUP(Table2[[#This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_xlfn.XLOOKUP(Table2[[#This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_xlfn.XLOOKUP(Table2[[#This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_xlfn.XLOOKUP(Table2[[#This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_xlfn.XLOOKUP(Table2[[#This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_xlfn.XLOOKUP(Table2[[#This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_xlfn.XLOOKUP(Table2[[#This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_xlfn.XLOOKUP(Table2[[#This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_xlfn.XLOOKUP(Table2[[#This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_xlfn.XLOOKUP(Table2[[#This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_xlfn.XLOOKUP(Table2[[#This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_xlfn.XLOOKUP(Table2[[#This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_xlfn.XLOOKUP(Table2[[#This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_xlfn.XLOOKUP(Table2[[#This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_xlfn.XLOOKUP(Table2[[#This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_xlfn.XLOOKUP(Table2[[#This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_xlfn.XLOOKUP(Table2[[#This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_xlfn.XLOOKUP(Table2[[#This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_xlfn.XLOOKUP(Table2[[#This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_xlfn.XLOOKUP(Table2[[#This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_xlfn.XLOOKUP(Table2[[#This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_xlfn.XLOOKUP(Table2[[#This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_xlfn.XLOOKUP(Table2[[#This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_xlfn.XLOOKUP(Table2[[#This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_xlfn.XLOOKUP(Table2[[#This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_xlfn.XLOOKUP(Table2[[#This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_xlfn.XLOOKUP(Table2[[#This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_xlfn.XLOOKUP(Table2[[#This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_xlfn.XLOOKUP(Table2[[#This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_xlfn.XLOOKUP(Table2[[#This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_xlfn.XLOOKUP(Table2[[#This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_xlfn.XLOOKUP(Table2[[#This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_xlfn.XLOOKUP(Table2[[#This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_xlfn.XLOOKUP(Table2[[#This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_xlfn.XLOOKUP(Table2[[#This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_xlfn.XLOOKUP(Table2[[#This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_xlfn.XLOOKUP(Table2[[#This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_xlfn.XLOOKUP(Table2[[#This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_xlfn.XLOOKUP(Table2[[#This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_xlfn.XLOOKUP(Table2[[#This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_xlfn.XLOOKUP(Table2[[#This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_xlfn.XLOOKUP(Table2[[#This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_xlfn.XLOOKUP(Table2[[#This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_xlfn.XLOOKUP(Table2[[#This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_xlfn.XLOOKUP(Table2[[#This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_xlfn.XLOOKUP(Table2[[#This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_xlfn.XLOOKUP(Table2[[#This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_xlfn.XLOOKUP(Table2[[#This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_xlfn.XLOOKUP(Table2[[#This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_xlfn.XLOOKUP(Table2[[#This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_xlfn.XLOOKUP(Table2[[#This Row],[Customer ID]],customers!$A$1:$A$1001,customers!$I$1:$I$1001,,0)</f>
        <v>Yes</v>
      </c>
    </row>
  </sheetData>
  <mergeCells count="1">
    <mergeCell ref="R9:W11"/>
  </mergeCell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615" workbookViewId="0">
      <selection activeCell="J22" sqref="J22"/>
    </sheetView>
  </sheetViews>
  <sheetFormatPr defaultRowHeight="14.4" x14ac:dyDescent="0.3"/>
  <cols>
    <col min="1" max="1" width="16" bestFit="1" customWidth="1"/>
    <col min="2" max="2" width="21.77734375" bestFit="1" customWidth="1"/>
    <col min="3" max="3" width="35.5546875" bestFit="1" customWidth="1"/>
    <col min="4" max="4" width="17.88671875" bestFit="1" customWidth="1"/>
    <col min="5" max="5" width="25.21875" bestFit="1" customWidth="1"/>
    <col min="6" max="6" width="19" bestFit="1" customWidth="1"/>
    <col min="7" max="7" width="14" bestFit="1" customWidth="1"/>
    <col min="8" max="8" width="8.5546875" bestFit="1" customWidth="1"/>
    <col min="9" max="9" width="11.10937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N23" sqref="N23"/>
    </sheetView>
  </sheetViews>
  <sheetFormatPr defaultRowHeight="14.4" x14ac:dyDescent="0.3"/>
  <cols>
    <col min="1" max="1" width="9.5546875" bestFit="1" customWidth="1"/>
    <col min="2" max="2" width="10.88671875" bestFit="1" customWidth="1"/>
    <col min="3" max="3" width="10" bestFit="1" customWidth="1"/>
    <col min="4" max="4" width="4.109375" bestFit="1" customWidth="1"/>
    <col min="5" max="5" width="8.88671875" bestFit="1" customWidth="1"/>
    <col min="6" max="6" width="12.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EC479-B097-4F94-A533-5DAEF3351BC1}">
  <dimension ref="A1"/>
  <sheetViews>
    <sheetView zoomScale="81" workbookViewId="0">
      <selection activeCell="AB28" sqref="AB28"/>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21E5D-29E6-49F9-B37D-372692DBDCB1}">
  <dimension ref="AA11"/>
  <sheetViews>
    <sheetView tabSelected="1" zoomScale="81" workbookViewId="0">
      <selection activeCell="Z20" sqref="Z20"/>
    </sheetView>
  </sheetViews>
  <sheetFormatPr defaultRowHeight="14.4" x14ac:dyDescent="0.3"/>
  <sheetData>
    <row r="11" spans="27:27" x14ac:dyDescent="0.3">
      <c r="AA11"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 Sales</vt:lpstr>
      <vt:lpstr>Total Quantity</vt:lpstr>
      <vt:lpstr>KPI</vt:lpstr>
      <vt:lpstr>Country Bar Chart</vt:lpstr>
      <vt:lpstr>Top 5 Customers</vt:lpstr>
      <vt:lpstr>orders</vt:lpstr>
      <vt:lpstr>customers</vt:lpstr>
      <vt:lpstr>products</vt:lpstr>
      <vt:lpstr>Dashboard1</vt:lpstr>
      <vt:lpstr>Dashboard2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Anurag Chakravarty</cp:lastModifiedBy>
  <cp:revision/>
  <dcterms:created xsi:type="dcterms:W3CDTF">2022-11-26T09:51:45Z</dcterms:created>
  <dcterms:modified xsi:type="dcterms:W3CDTF">2026-10-28T20:20:16Z</dcterms:modified>
  <cp:category/>
  <cp:contentStatus/>
</cp:coreProperties>
</file>